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onchettl\Documents\GitHub\dissertacao\scripts\analysis\"/>
    </mc:Choice>
  </mc:AlternateContent>
  <xr:revisionPtr revIDLastSave="0" documentId="13_ncr:1_{53BA2930-94F8-4F2B-BDE3-CDEB00AF017C}" xr6:coauthVersionLast="36" xr6:coauthVersionMax="36" xr10:uidLastSave="{00000000-0000-0000-0000-000000000000}"/>
  <bookViews>
    <workbookView xWindow="0" yWindow="0" windowWidth="19200" windowHeight="7910" activeTab="1" xr2:uid="{00000000-000D-0000-FFFF-FFFF00000000}"/>
  </bookViews>
  <sheets>
    <sheet name="Spreadsheets (Analysis)" sheetId="2" r:id="rId1"/>
    <sheet name="Average per Category" sheetId="1" r:id="rId2"/>
    <sheet name="Meet the categories" sheetId="4" r:id="rId3"/>
  </sheets>
  <calcPr calcId="191029"/>
</workbook>
</file>

<file path=xl/calcChain.xml><?xml version="1.0" encoding="utf-8"?>
<calcChain xmlns="http://schemas.openxmlformats.org/spreadsheetml/2006/main">
  <c r="D6" i="1" l="1"/>
  <c r="E6" i="1"/>
  <c r="F6" i="1"/>
  <c r="G6" i="1"/>
  <c r="H6" i="1"/>
  <c r="I6" i="1"/>
  <c r="C6" i="1"/>
  <c r="M7" i="4"/>
  <c r="K2282" i="2"/>
  <c r="K2283" i="2"/>
  <c r="K2284" i="2"/>
  <c r="E5" i="4"/>
  <c r="F5" i="4"/>
  <c r="G5" i="4"/>
  <c r="K5" i="4"/>
  <c r="J5" i="4"/>
  <c r="I5" i="4"/>
  <c r="H5" i="4"/>
  <c r="K2281" i="2" l="1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11" i="2"/>
  <c r="F7" i="4" s="1"/>
  <c r="E7" i="4" l="1"/>
  <c r="G7" i="4"/>
  <c r="H7" i="4"/>
  <c r="I7" i="4"/>
  <c r="J7" i="4"/>
  <c r="K7" i="4"/>
  <c r="J8" i="2"/>
  <c r="I8" i="2"/>
  <c r="H8" i="2"/>
  <c r="G8" i="2"/>
  <c r="F8" i="2"/>
  <c r="E8" i="2"/>
  <c r="D8" i="2"/>
  <c r="J4" i="2"/>
  <c r="I4" i="2"/>
  <c r="H4" i="2"/>
  <c r="G4" i="2"/>
  <c r="F4" i="2"/>
  <c r="E4" i="2"/>
  <c r="D4" i="2"/>
  <c r="F6" i="4" l="1"/>
  <c r="N5" i="4"/>
  <c r="E6" i="4"/>
  <c r="H6" i="4"/>
  <c r="I6" i="4"/>
  <c r="J6" i="4"/>
  <c r="K6" i="4"/>
  <c r="G6" i="4"/>
</calcChain>
</file>

<file path=xl/sharedStrings.xml><?xml version="1.0" encoding="utf-8"?>
<sst xmlns="http://schemas.openxmlformats.org/spreadsheetml/2006/main" count="2314" uniqueCount="2305">
  <si>
    <t>Average (#)</t>
  </si>
  <si>
    <t>ET</t>
  </si>
  <si>
    <t>CC</t>
  </si>
  <si>
    <t>CF</t>
  </si>
  <si>
    <t>CA</t>
  </si>
  <si>
    <t>LC</t>
  </si>
  <si>
    <t>SM</t>
  </si>
  <si>
    <t>NC</t>
  </si>
  <si>
    <t># Projetos</t>
  </si>
  <si>
    <t>Média</t>
  </si>
  <si>
    <t>DestinyItemManager@DIM.xlsx</t>
  </si>
  <si>
    <t>DevExpress@devextreme-reactive.xlsx</t>
  </si>
  <si>
    <t>DevExpress@testcafe.xlsx</t>
  </si>
  <si>
    <t>DhavalKapil@heap-exploitation.xlsx</t>
  </si>
  <si>
    <t>DistrictDataLabs@yellowbrick.xlsx</t>
  </si>
  <si>
    <t>DivanteLtd@vue-storefront.xlsx</t>
  </si>
  <si>
    <t>Dogfalo@materialize.xlsx</t>
  </si>
  <si>
    <t>DonJayamanne@pythonVSCode.xlsx</t>
  </si>
  <si>
    <t>DotNetAnalyzers@StyleCopAnalyzers.xlsx</t>
  </si>
  <si>
    <t>Dotnet-Boxed@Templates.xlsx</t>
  </si>
  <si>
    <t>DynamoDS@Dynamo.xlsx</t>
  </si>
  <si>
    <t>DynamoRIO@drmemory.xlsx</t>
  </si>
  <si>
    <t>DynamoRIO@dynamorio.xlsx</t>
  </si>
  <si>
    <t>EOSIO@eos.xlsx</t>
  </si>
  <si>
    <t>EOSIO@eosjs.xlsx</t>
  </si>
  <si>
    <t>EasyCorp@EasyAdminBundle.xlsx</t>
  </si>
  <si>
    <t>EasyEngine@easyengine.xlsx</t>
  </si>
  <si>
    <t>ElemeFE@v-charts.xlsx</t>
  </si>
  <si>
    <t>Elgg@Elgg.xlsx</t>
  </si>
  <si>
    <t>Eloston@ungoogled-chromium.xlsx</t>
  </si>
  <si>
    <t>Eonasdan@bootstrap-datetimepicker.xlsx</t>
  </si>
  <si>
    <t>EricssonResearch@openwebrtc.xlsx</t>
  </si>
  <si>
    <t>ExactTarget@fuelux.xlsx</t>
  </si>
  <si>
    <t>ExtendRealityLtd@VRTK.xlsx</t>
  </si>
  <si>
    <t>EyalAr@lwip.xlsx</t>
  </si>
  <si>
    <t>FLIF-hub@FLIF.xlsx</t>
  </si>
  <si>
    <t>FakeItEasy@FakeItEasy.xlsx</t>
  </si>
  <si>
    <t>Famous@famous.xlsx</t>
  </si>
  <si>
    <t>FascinatedBox@lily.xlsx</t>
  </si>
  <si>
    <t>FastReports@FastReport.xlsx</t>
  </si>
  <si>
    <t>FeatureLabs@featuretools.xlsx</t>
  </si>
  <si>
    <t>File-New-Project@EarTrumpet.xlsx</t>
  </si>
  <si>
    <t>FirebaseExtended@bolt.xlsx</t>
  </si>
  <si>
    <t>FirebaseExtended@reactfire.xlsx</t>
  </si>
  <si>
    <t>FlaUI@FlaUI.xlsx</t>
  </si>
  <si>
    <t>Flaque@quirk.xlsx</t>
  </si>
  <si>
    <t>FluentValidation@FluentValidation.xlsx</t>
  </si>
  <si>
    <t>FoalTS@foal.xlsx</t>
  </si>
  <si>
    <t>Fody@Costura.xlsx</t>
  </si>
  <si>
    <t>FontCustom@fontcustom.xlsx</t>
  </si>
  <si>
    <t>FormidableLabs@radium.xlsx</t>
  </si>
  <si>
    <t>FormidableLabs@spectacle.xlsx</t>
  </si>
  <si>
    <t>FormidableLabs@urql.xlsx</t>
  </si>
  <si>
    <t>FortAwesome@Font-Awesome.xlsx</t>
  </si>
  <si>
    <t>FortAwesome@angular-fontawesome.xlsx</t>
  </si>
  <si>
    <t>Foundry376@Mailspring.xlsx</t>
  </si>
  <si>
    <t>FrDH@dotdotdot-js.xlsx</t>
  </si>
  <si>
    <t>FredrikNoren@ungit.xlsx</t>
  </si>
  <si>
    <t>FreeRADIUS@freeradius-server.xlsx</t>
  </si>
  <si>
    <t>FreshRSS@FreshRSS.xlsx</t>
  </si>
  <si>
    <t>FriendsOfSymfony@FOSJsRoutingBundle.xlsx</t>
  </si>
  <si>
    <t>Froxlor@Froxlor.xlsx</t>
  </si>
  <si>
    <t>FullHuman@purgecss.xlsx</t>
  </si>
  <si>
    <t>Gallopsled@pwntools.xlsx</t>
  </si>
  <si>
    <t>GameFoundry@bsf.xlsx</t>
  </si>
  <si>
    <t>GameServerManagers@LinuxGSM.xlsx</t>
  </si>
  <si>
    <t>GarageGames@Torque3D.xlsx</t>
  </si>
  <si>
    <t>GeneaLabs@laravel-model-caching.xlsx</t>
  </si>
  <si>
    <t>GhostWriters@DockSTARTer.xlsx</t>
  </si>
  <si>
    <t>GitTools@GitVersion.xlsx</t>
  </si>
  <si>
    <t>Glimpse@Glimpse.xlsx</t>
  </si>
  <si>
    <t>GoldenCheetah@GoldenCheetah.xlsx</t>
  </si>
  <si>
    <t>GoogleChrome@chrome-app-samples.xlsx</t>
  </si>
  <si>
    <t>GoogleChrome@lighthouse.xlsx</t>
  </si>
  <si>
    <t>GoogleChrome@rendertron.xlsx</t>
  </si>
  <si>
    <t>GoogleChrome@workbox.xlsx</t>
  </si>
  <si>
    <t>GoogleChromeLabs@carlo.xlsx</t>
  </si>
  <si>
    <t>GoogleChromeLabs@ndb.xlsx</t>
  </si>
  <si>
    <t>GoogleChromeLabs@proxx.xlsx</t>
  </si>
  <si>
    <t>GoogleChromeLabs@squoosh.xlsx</t>
  </si>
  <si>
    <t>GoogleCloudPlatform@continuous-deployment-on-kubernetes.xlsx</t>
  </si>
  <si>
    <t>GoogleCloudPlatform@microservices-demo.xlsx</t>
  </si>
  <si>
    <t>GoogleCloudPlatform@python-docs-samples.xlsx</t>
  </si>
  <si>
    <t>GoogleContainerTools@jib.xlsx</t>
  </si>
  <si>
    <t>GrafiteInc@Builder.xlsx</t>
  </si>
  <si>
    <t>GrahamCampbell@Laravel-Markdown.xlsx</t>
  </si>
  <si>
    <t>Graylog2@graylog2-server.xlsx</t>
  </si>
  <si>
    <t>HDInnovations@UNIT3D-Community-Edition.xlsx</t>
  </si>
  <si>
    <t>HTBox@allReady.xlsx</t>
  </si>
  <si>
    <t>Hackplayers@evil-winrm.xlsx</t>
  </si>
  <si>
    <t>Haivision@srt.xlsx</t>
  </si>
  <si>
    <t>HangfireIO@Hangfire.xlsx</t>
  </si>
  <si>
    <t>Harvey-OS@harvey.xlsx</t>
  </si>
  <si>
    <t>HearthSim@Hearthstone-Deck-Tracker.xlsx</t>
  </si>
  <si>
    <t>Homebrew@brew.xlsx</t>
  </si>
  <si>
    <t>Homebrew@homebrew-bundle.xlsx</t>
  </si>
  <si>
    <t>Homebrew@homebrew-cask-fonts.xlsx</t>
  </si>
  <si>
    <t>Homebrew@homebrew-cask-versions.xlsx</t>
  </si>
  <si>
    <t>Homebrew@homebrew-cask.xlsx</t>
  </si>
  <si>
    <t>Homebrew@homebrew-core.xlsx</t>
  </si>
  <si>
    <t>Homebrew@linuxbrew-core.xlsx</t>
  </si>
  <si>
    <t>Hopding@pdf-lib.xlsx</t>
  </si>
  <si>
    <t>HospitalRun@hospitalrun-frontend.xlsx</t>
  </si>
  <si>
    <t>Humanizr@Humanizer.xlsx</t>
  </si>
  <si>
    <t>IBM@kui.xlsx</t>
  </si>
  <si>
    <t>Icinga@icinga2.xlsx</t>
  </si>
  <si>
    <t>IdentityManager@IdentityManager.xlsx</t>
  </si>
  <si>
    <t>IdentityServer@IdentityServer3.xlsx</t>
  </si>
  <si>
    <t>IdentityServer@IdentityServer4.xlsx</t>
  </si>
  <si>
    <t>ImageMagick@ImageMagick.xlsx</t>
  </si>
  <si>
    <t>Indatus@dispatcher.xlsx</t>
  </si>
  <si>
    <t>IntelRealSense@librealsense.xlsx</t>
  </si>
  <si>
    <t>InvoicePlane@InvoicePlane.xlsx</t>
  </si>
  <si>
    <t>Ismaestro@angular9-example-app.xlsx</t>
  </si>
  <si>
    <t>JMPerez@spotify-web-api-js.xlsx</t>
  </si>
  <si>
    <t>JabbR@JabbR.xlsx</t>
  </si>
  <si>
    <t>Jackett@Jackett.xlsx</t>
  </si>
  <si>
    <t>JakeWharton@ActionBarSherlock.xlsx</t>
  </si>
  <si>
    <t>James-Yu@LaTeX-Workshop.xlsx</t>
  </si>
  <si>
    <t>JamesNK@Newtonsoft.Json.xlsx</t>
  </si>
  <si>
    <t>JamieMason@ImageOptim-CLI.xlsx</t>
  </si>
  <si>
    <t>JanusGraph@janusgraph.xlsx</t>
  </si>
  <si>
    <t>JasonStein@Notepads.xlsx</t>
  </si>
  <si>
    <t>Jasonette@JASONETTE-iOS.xlsx</t>
  </si>
  <si>
    <t>JasperFx@marten.xlsx</t>
  </si>
  <si>
    <t>JedWatson@classnames.xlsx</t>
  </si>
  <si>
    <t>JedWatson@react-select.xlsx</t>
  </si>
  <si>
    <t>Jessecar96@SteamBot.xlsx</t>
  </si>
  <si>
    <t>JetBrains@resharper-unity.xlsx</t>
  </si>
  <si>
    <t>Jigsaw-Code@outline-client.xlsx</t>
  </si>
  <si>
    <t>Jigsaw-Code@outline-server.xlsx</t>
  </si>
  <si>
    <t>JimBobSquarePants@ImageProcessor.xlsx</t>
  </si>
  <si>
    <t>JosefPihrt@Roslynator.xlsx</t>
  </si>
  <si>
    <t>JuanitoFatas@fast-ruby.xlsx</t>
  </si>
  <si>
    <t>JustArchiNET@ArchiSteamFarm.xlsx</t>
  </si>
  <si>
    <t>KaTeX@KaTeX.xlsx</t>
  </si>
  <si>
    <t>Karumi@Dexter.xlsx</t>
  </si>
  <si>
    <t>KevinOConnor@klipper.xlsx</t>
  </si>
  <si>
    <t>Kinto@kinto.xlsx</t>
  </si>
  <si>
    <t>Kitware@VTK.xlsx</t>
  </si>
  <si>
    <t>Klocman@Bulk-Crap-Uninstaller.xlsx</t>
  </si>
  <si>
    <t>KnpLabs@snappy.xlsx</t>
  </si>
  <si>
    <t>Kononnable@typeorm-model-generator.xlsx</t>
  </si>
  <si>
    <t>LUX-Core@lux.xlsx</t>
  </si>
  <si>
    <t>LWJGL@lwjgl3.xlsx</t>
  </si>
  <si>
    <t>Laravelium@laravel-sitemap.xlsx</t>
  </si>
  <si>
    <t>LeaVerou@awesomplete.xlsx</t>
  </si>
  <si>
    <t>Leaflet@Leaflet.xlsx</t>
  </si>
  <si>
    <t>LeelaChessZero@lc0.xlsx</t>
  </si>
  <si>
    <t>Linuxbrew@brew.xlsx</t>
  </si>
  <si>
    <t>LiskHQ@lisk-sdk.xlsx</t>
  </si>
  <si>
    <t>Live-Charts@Live-Charts.xlsx</t>
  </si>
  <si>
    <t>LycheeOrg@Lychee-v3.xlsx</t>
  </si>
  <si>
    <t>MISP@MISP.xlsx</t>
  </si>
  <si>
    <t>MPOS@php-mpos.xlsx</t>
  </si>
  <si>
    <t>MahApps@MahApps.Metro.xlsx</t>
  </si>
  <si>
    <t>ManageIQ@manageiq.xlsx</t>
  </si>
  <si>
    <t>Marak@faker.js.xlsx</t>
  </si>
  <si>
    <t>MariaDB@server.xlsx</t>
  </si>
  <si>
    <t>MarimerLLC@csla.xlsx</t>
  </si>
  <si>
    <t>MaterialDesignInXAML@MaterialDesignInXamlToolkit.xlsx</t>
  </si>
  <si>
    <t>MathewSachin@Captura.xlsx</t>
  </si>
  <si>
    <t>Maximus5@ConEmu.xlsx</t>
  </si>
  <si>
    <t>Medicean@VulApps.xlsx</t>
  </si>
  <si>
    <t>Meituan-Dianping@Logan.xlsx</t>
  </si>
  <si>
    <t>MichMich@MagicMirror.xlsx</t>
  </si>
  <si>
    <t>MichaIng@DietPi.xlsx</t>
  </si>
  <si>
    <t>MichaelGrafnetter@DSInternals.xlsx</t>
  </si>
  <si>
    <t>MicrosoftDocs@live-share.xlsx</t>
  </si>
  <si>
    <t>MithrilJS@mithril.js.xlsx</t>
  </si>
  <si>
    <t>MoOx@postcss-cssnext.xlsx</t>
  </si>
  <si>
    <t>MobSF@Mobile-Security-Framework-MobSF.xlsx</t>
  </si>
  <si>
    <t>MobileChromeApps@mobile-chrome-apps.xlsx</t>
  </si>
  <si>
    <t>Morgan-Stanley@hobbes.xlsx</t>
  </si>
  <si>
    <t>MostlyAdequate@mostly-adequate-guide.xlsx</t>
  </si>
  <si>
    <t>Motion-Project@motion.xlsx</t>
  </si>
  <si>
    <t>MovingBlocks@Terasology.xlsx</t>
  </si>
  <si>
    <t>MrKepzie@Natron.xlsx</t>
  </si>
  <si>
    <t>MvvmCross@MvvmCross.xlsx</t>
  </si>
  <si>
    <t>MycroftAI@mycroft-core.xlsx</t>
  </si>
  <si>
    <t>NARKOZ@gitlab.xlsx</t>
  </si>
  <si>
    <t>NG-ZORRO@ng-zorro-antd.xlsx</t>
  </si>
  <si>
    <t>NLog@NLog.xlsx</t>
  </si>
  <si>
    <t>NRules@NRules.xlsx</t>
  </si>
  <si>
    <t>NVIDIA@DALI.xlsx</t>
  </si>
  <si>
    <t>NVIDIA@TensorRT.xlsx</t>
  </si>
  <si>
    <t>NVIDIA@triton-inference-server.xlsx</t>
  </si>
  <si>
    <t>NVIDIAGameWorks@kaolin.xlsx</t>
  </si>
  <si>
    <t>NancyFx@Nancy.xlsx</t>
  </si>
  <si>
    <t>NationalSecurityAgency@SIMP.xlsx</t>
  </si>
  <si>
    <t>NationalSecurityAgency@ghidra.xlsx</t>
  </si>
  <si>
    <t>NativeScript@NativeScript.xlsx</t>
  </si>
  <si>
    <t>NativeScript@nativescript-angular.xlsx</t>
  </si>
  <si>
    <t>NatronGitHub@Natron.xlsx</t>
  </si>
  <si>
    <t>NervJS@taro-ui.xlsx</t>
  </si>
  <si>
    <t>NervJS@taro.xlsx</t>
  </si>
  <si>
    <t>NetTopologySuite@NetTopologySuite.xlsx</t>
  </si>
  <si>
    <t>Netflix-Skunkworks@Scumblr.xlsx</t>
  </si>
  <si>
    <t>Netflix@Hystrix.xlsx</t>
  </si>
  <si>
    <t>Netflix@conductor.xlsx</t>
  </si>
  <si>
    <t>Netflix@dynomite.xlsx</t>
  </si>
  <si>
    <t>Netflix@fast_jsonapi.xlsx</t>
  </si>
  <si>
    <t>Netflix@pollyjs.xlsx</t>
  </si>
  <si>
    <t>Netflix@security_monkey.xlsx</t>
  </si>
  <si>
    <t>NewEraCracker@LOIC.xlsx</t>
  </si>
  <si>
    <t>Nickersoft@push.js.xlsx</t>
  </si>
  <si>
    <t>NicolasHug@Surprise.xlsx</t>
  </si>
  <si>
    <t>NodeBB@NodeBB.xlsx</t>
  </si>
  <si>
    <t>NodeOS@NodeOS.xlsx</t>
  </si>
  <si>
    <t>NodeRedis@node-redis.xlsx</t>
  </si>
  <si>
    <t>Nozbe@WatermelonDB.xlsx</t>
  </si>
  <si>
    <t>NuGet@NuGetGallery.xlsx</t>
  </si>
  <si>
    <t>NullArray@AutoSploit.xlsx</t>
  </si>
  <si>
    <t>OISF@suricata.xlsx</t>
  </si>
  <si>
    <t>OSGeo@gdal.xlsx</t>
  </si>
  <si>
    <t>OWASP@CheatSheetSeries.xlsx</t>
  </si>
  <si>
    <t>OWASP@owasp-mstg.xlsx</t>
  </si>
  <si>
    <t>OWASP@wstg.xlsx</t>
  </si>
  <si>
    <t>Ocramius@ProxyManager.xlsx</t>
  </si>
  <si>
    <t>OctoPrint@OctoPrint.xlsx</t>
  </si>
  <si>
    <t>OfficeDev@Open-XML-SDK.xlsx</t>
  </si>
  <si>
    <t>OfficeDev@TrainingContent.xlsx</t>
  </si>
  <si>
    <t>OmniSharp@omnisharp-roslyn.xlsx</t>
  </si>
  <si>
    <t>Open-Web-Analytics@Open-Web-Analytics.xlsx</t>
  </si>
  <si>
    <t>OpenAPITools@openapi-generator.xlsx</t>
  </si>
  <si>
    <t>OpenCover@opencover.xlsx</t>
  </si>
  <si>
    <t>OpenFeign@feign.xlsx</t>
  </si>
  <si>
    <t>OpenGenus@cosmos.xlsx</t>
  </si>
  <si>
    <t>OpenLiveWriter@OpenLiveWriter.xlsx</t>
  </si>
  <si>
    <t>OpenMW@openmw.xlsx</t>
  </si>
  <si>
    <t>OpenMined@PySyft.xlsx</t>
  </si>
  <si>
    <t>OpenNMT@OpenNMT-py.xlsx</t>
  </si>
  <si>
    <t>OpenRA@OpenRA.xlsx</t>
  </si>
  <si>
    <t>OpenRefine@OpenRefine.xlsx</t>
  </si>
  <si>
    <t>OpenTSDB@opentsdb.xlsx</t>
  </si>
  <si>
    <t>OpenTTD@OpenTTD.xlsx</t>
  </si>
  <si>
    <t>OpenZeppelin@openzeppelin-contracts.xlsx</t>
  </si>
  <si>
    <t>OptiKey@OptiKey.xlsx</t>
  </si>
  <si>
    <t>OrchardCMS@OrchardCore.xlsx</t>
  </si>
  <si>
    <t>OtterBrowser@otter-browser.xlsx</t>
  </si>
  <si>
    <t>OwlCarousel2@OwlCarousel2.xlsx</t>
  </si>
  <si>
    <t>PHPCompatibility@PHPCompatibility.xlsx</t>
  </si>
  <si>
    <t>PHPOffice@PHPWord.xlsx</t>
  </si>
  <si>
    <t>PHPOffice@PhpSpreadsheet.xlsx</t>
  </si>
  <si>
    <t>PX4@Firmware.xlsx</t>
  </si>
  <si>
    <t>PaddlePaddle@Paddle.xlsx</t>
  </si>
  <si>
    <t>Palakis@obs-ndi.xlsx</t>
  </si>
  <si>
    <t>Palakis@obs-websocket.xlsx</t>
  </si>
  <si>
    <t>PaperMC@Paper.xlsx</t>
  </si>
  <si>
    <t>ParabolInc@parabol.xlsx</t>
  </si>
  <si>
    <t>Parallels@vagrant-parallels.xlsx</t>
  </si>
  <si>
    <t>Pathoschild@SMAPI.xlsx</t>
  </si>
  <si>
    <t>PatrickJS@starter.xlsx</t>
  </si>
  <si>
    <t>PhilJay@MPAndroidChart.xlsx</t>
  </si>
  <si>
    <t>PiranhaCMS@piranha.core.xlsx</t>
  </si>
  <si>
    <t>Piwigo@Piwigo.xlsx</t>
  </si>
  <si>
    <t>PocketMine@PocketMine-MP.xlsx</t>
  </si>
  <si>
    <t>PointCloudLibrary@pcl.xlsx</t>
  </si>
  <si>
    <t>Polymer@lit-element.xlsx</t>
  </si>
  <si>
    <t>Polymer@lit-html.xlsx</t>
  </si>
  <si>
    <t>PowerDNS@pdns.xlsx</t>
  </si>
  <si>
    <t>PowerShell@PSReadLine.xlsx</t>
  </si>
  <si>
    <t>PowerShell@PowerShell.xlsx</t>
  </si>
  <si>
    <t>PrestaShop@PrestaShop.xlsx</t>
  </si>
  <si>
    <t>PrismLibrary@Prism.xlsx</t>
  </si>
  <si>
    <t>PrivateBin@PrivateBin.xlsx</t>
  </si>
  <si>
    <t>Project-OSRM@osrm-backend.xlsx</t>
  </si>
  <si>
    <t>Protoqol@Prequel.xlsx</t>
  </si>
  <si>
    <t>Pryaxis@TShock.xlsx</t>
  </si>
  <si>
    <t>PyCQA@bandit.xlsx</t>
  </si>
  <si>
    <t>PyGithub@PyGithub.xlsx</t>
  </si>
  <si>
    <t>PyTorchLightning@pytorch-lightning.xlsx</t>
  </si>
  <si>
    <t>Qiskit@qiskit-terra.xlsx</t>
  </si>
  <si>
    <t>Qoraiche@laravel-mail-editor.xlsx</t>
  </si>
  <si>
    <t>RIOT-OS@RIOT.xlsx</t>
  </si>
  <si>
    <t>ROCm-Developer-Tools@HIP.xlsx</t>
  </si>
  <si>
    <t>RSS-Bridge@rss-bridge.xlsx</t>
  </si>
  <si>
    <t>RaRe-Technologies@gensim.xlsx</t>
  </si>
  <si>
    <t>Raathigesh@majestic.xlsx</t>
  </si>
  <si>
    <t>Radarr@Radarr.xlsx</t>
  </si>
  <si>
    <t>RainLoop@rainloop-webmail.xlsx</t>
  </si>
  <si>
    <t>Ramotion@folding-cell-android.xlsx</t>
  </si>
  <si>
    <t>Ramotion@paper-onboarding-android.xlsx</t>
  </si>
  <si>
    <t>Rapptz@discord.py.xlsx</t>
  </si>
  <si>
    <t>RasaHQ@rasa.xlsx</t>
  </si>
  <si>
    <t>ReactTraining@history.xlsx</t>
  </si>
  <si>
    <t>ReactTraining@react-router.xlsx</t>
  </si>
  <si>
    <t>Reactive-Extensions@RxJS.xlsx</t>
  </si>
  <si>
    <t>ReactiveX@IxJS.xlsx</t>
  </si>
  <si>
    <t>ReactiveX@RxAndroid.xlsx</t>
  </si>
  <si>
    <t>ReactiveX@RxJava.xlsx</t>
  </si>
  <si>
    <t>ReactiveX@RxPHP.xlsx</t>
  </si>
  <si>
    <t>ReactiveX@rxjs.xlsx</t>
  </si>
  <si>
    <t>Real-Serious-Games@C-Sharp-Promise.xlsx</t>
  </si>
  <si>
    <t>Red5@red5-server.xlsx</t>
  </si>
  <si>
    <t>Redocly@redoc.xlsx</t>
  </si>
  <si>
    <t>Redth@PushSharp.xlsx</t>
  </si>
  <si>
    <t>Respect@Validation.xlsx</t>
  </si>
  <si>
    <t>Revolutionary-Games@Thrive.xlsx</t>
  </si>
  <si>
    <t>Rich-Harris@ramjet.xlsx</t>
  </si>
  <si>
    <t>RichardLitt@awesome-styleguides.xlsx</t>
  </si>
  <si>
    <t>RicoSuter@NJsonSchema.xlsx</t>
  </si>
  <si>
    <t>RicoSuter@NSwag.xlsx</t>
  </si>
  <si>
    <t>RobinBuschmann@sequelize-typescript.xlsx</t>
  </si>
  <si>
    <t>Rochester-NRT@RocAlphaGo.xlsx</t>
  </si>
  <si>
    <t>RocketChat@Rocket.Chat.xlsx</t>
  </si>
  <si>
    <t>RocketMap@RocketMap.xlsx</t>
  </si>
  <si>
    <t>Rocketseat@unform.xlsx</t>
  </si>
  <si>
    <t>RockstarLang@rockstar.xlsx</t>
  </si>
  <si>
    <t>SAP@chevrotain.xlsx</t>
  </si>
  <si>
    <t>SSilence@selfoss.xlsx</t>
  </si>
  <si>
    <t>STEllAR-GROUP@hpx.xlsx</t>
  </si>
  <si>
    <t>SUSE@Portus.xlsx</t>
  </si>
  <si>
    <t>SciRuby@daru.xlsx</t>
  </si>
  <si>
    <t>SciRuby@sciruby.xlsx</t>
  </si>
  <si>
    <t>SeleniumHQ@docker-selenium.xlsx</t>
  </si>
  <si>
    <t>Semantic-Org@Semantic-UI-React.xlsx</t>
  </si>
  <si>
    <t>Semantic-Org@Semantic-UI.xlsx</t>
  </si>
  <si>
    <t>SerenityOS@serenity.xlsx</t>
  </si>
  <si>
    <t>SerpentAI@SerpentAI.xlsx</t>
  </si>
  <si>
    <t>SheetJS@sheetjs.xlsx</t>
  </si>
  <si>
    <t>Shopify@active_shipping.xlsx</t>
  </si>
  <si>
    <t>Shopify@bootsnap.xlsx</t>
  </si>
  <si>
    <t>Shopify@dashing.xlsx</t>
  </si>
  <si>
    <t>Shopify@graphql-batch.xlsx</t>
  </si>
  <si>
    <t>Shopify@identity_cache.xlsx</t>
  </si>
  <si>
    <t>Shopify@krane.xlsx</t>
  </si>
  <si>
    <t>Shopify@liquid.xlsx</t>
  </si>
  <si>
    <t>Shopify@polaris-react.xlsx</t>
  </si>
  <si>
    <t>Siccity@xNode.xlsx</t>
  </si>
  <si>
    <t>SignalR@SignalR.xlsx</t>
  </si>
  <si>
    <t>SirVer@ultisnips.xlsx</t>
  </si>
  <si>
    <t>SixLabors@ImageSharp.xlsx</t>
  </si>
  <si>
    <t>SmingHub@Sming.xlsx</t>
  </si>
  <si>
    <t>SolrNet@SolrNet.xlsx</t>
  </si>
  <si>
    <t>SonarSource@sonarqube.xlsx</t>
  </si>
  <si>
    <t>Sonarr@Sonarr.xlsx</t>
  </si>
  <si>
    <t>SortableJS@Vue.Draggable.xlsx</t>
  </si>
  <si>
    <t>SpacehuhnTech@esp8266_deauther.xlsx</t>
  </si>
  <si>
    <t>SpecFlowOSS@SpecFlow.xlsx</t>
  </si>
  <si>
    <t>Stellarium@stellarium.xlsx</t>
  </si>
  <si>
    <t>StephenCleary@AsyncEx.xlsx</t>
  </si>
  <si>
    <t>StevenBlack@hosts.xlsx</t>
  </si>
  <si>
    <t>StreisandEffect@streisand.xlsx</t>
  </si>
  <si>
    <t>SublimeText-Markdown@MarkdownEditing.xlsx</t>
  </si>
  <si>
    <t>SubnauticaNitrox@Nitrox.xlsx</t>
  </si>
  <si>
    <t>Sustainsys@Saml2.xlsx</t>
  </si>
  <si>
    <t>Swizec@useAuth.xlsx</t>
  </si>
  <si>
    <t>Sylius@Sylius.xlsx</t>
  </si>
  <si>
    <t>Syomus@ProceduralToolkit.xlsx</t>
  </si>
  <si>
    <t>System-IO-Abstractions@System.IO.Abstractions.xlsx</t>
  </si>
  <si>
    <t>TGMPA@TGM-Plugin-Activation.xlsx</t>
  </si>
  <si>
    <t>TalAter@annyang.xlsx</t>
  </si>
  <si>
    <t>TeamAmaze@AmazeFileManager.xlsx</t>
  </si>
  <si>
    <t>TeamNewPipe@NewPipe.xlsx</t>
  </si>
  <si>
    <t>TelegramBots@Telegram.Bot.xlsx</t>
  </si>
  <si>
    <t>Tencent@MMKV.xlsx</t>
  </si>
  <si>
    <t>Tencent@Shadow.xlsx</t>
  </si>
  <si>
    <t>Tencent@VasSonic.xlsx</t>
  </si>
  <si>
    <t>Tencent@mars.xlsx</t>
  </si>
  <si>
    <t>Tencent@matrix.xlsx</t>
  </si>
  <si>
    <t>Tencent@plato.xlsx</t>
  </si>
  <si>
    <t>Tencent@wcdb.xlsx</t>
  </si>
  <si>
    <t>Tencent@wepy.xlsx</t>
  </si>
  <si>
    <t>Teradata@covalent.xlsx</t>
  </si>
  <si>
    <t>The-Art-of-Hacking@h4cker.xlsx</t>
  </si>
  <si>
    <t>TheAlgorithms@C-Plus-Plus.xlsx</t>
  </si>
  <si>
    <t>TheAlgorithms@C-Sharp.xlsx</t>
  </si>
  <si>
    <t>TheAlgorithms@Python.xlsx</t>
  </si>
  <si>
    <t>TheBerkin@rant.xlsx</t>
  </si>
  <si>
    <t>TheCherno@Hazel.xlsx</t>
  </si>
  <si>
    <t>ThePhD@sol2.xlsx</t>
  </si>
  <si>
    <t>ThingPulse@esp8266-oled-ssd1306.xlsx</t>
  </si>
  <si>
    <t>ThinkUpLLC@ThinkUp.xlsx</t>
  </si>
  <si>
    <t>ThreeMammals@Ocelot.xlsx</t>
  </si>
  <si>
    <t>Tonejs@Tone.js.xlsx</t>
  </si>
  <si>
    <t>TorchCraft@TorchCraft.xlsx</t>
  </si>
  <si>
    <t>TracksApp@tracks.xlsx</t>
  </si>
  <si>
    <t>TrinityCore@TrinityCore.xlsx</t>
  </si>
  <si>
    <t>TryGhost@Ghost.xlsx</t>
  </si>
  <si>
    <t>TypeStrong@atom-typescript.xlsx</t>
  </si>
  <si>
    <t>TypeStrong@fork-ts-checker-webpack-plugin.xlsx</t>
  </si>
  <si>
    <t>TypedProject@tsed.xlsx</t>
  </si>
  <si>
    <t>UniSharp@laravel-filemanager.xlsx</t>
  </si>
  <si>
    <t>UnigramDev@Unigram.xlsx</t>
  </si>
  <si>
    <t>UnionOfRAD@lithium.xlsx</t>
  </si>
  <si>
    <t>Unitech@pm2.xlsx</t>
  </si>
  <si>
    <t>Unity-Technologies@AssetGraph.xlsx</t>
  </si>
  <si>
    <t>Unity-Technologies@FPSSample.xlsx</t>
  </si>
  <si>
    <t>UnityCommunity@UnityLibrary.xlsx</t>
  </si>
  <si>
    <t>UnityTech@UIWidgets.xlsx</t>
  </si>
  <si>
    <t>VCVRack@Rack.xlsx</t>
  </si>
  <si>
    <t>VSCodeVim@Vim.xlsx</t>
  </si>
  <si>
    <t>Varying-Vagrant-Vagrants@VVV.xlsx</t>
  </si>
  <si>
    <t>VsVim@VsVim.xlsx</t>
  </si>
  <si>
    <t>WICG@webusb.xlsx</t>
  </si>
  <si>
    <t>WhatsApp@stickers.xlsx</t>
  </si>
  <si>
    <t>WhichBrowser@Parser-PHP.xlsx</t>
  </si>
  <si>
    <t>WordPress@WordPress-Coding-Standards.xlsx</t>
  </si>
  <si>
    <t>YarnSpinnerTool@YarnSpinner.xlsx</t>
  </si>
  <si>
    <t>Yelp@dumb-init.xlsx</t>
  </si>
  <si>
    <t>Yoast@wordpress-seo.xlsx</t>
  </si>
  <si>
    <t>YorickPeterse@oga.xlsx</t>
  </si>
  <si>
    <t>ZZROTDesign@docker-clean.xlsx</t>
  </si>
  <si>
    <t>ZeBobo5@Vlc.DotNet.xlsx</t>
  </si>
  <si>
    <t>ZieIony@Carbon.xlsx</t>
  </si>
  <si>
    <t>ZoneMinder@zoneminder.xlsx</t>
  </si>
  <si>
    <t>Zulko@moviepy.xlsx</t>
  </si>
  <si>
    <t>deezer@spleeter.xlsx</t>
  </si>
  <si>
    <t>defold@defold.xlsx</t>
  </si>
  <si>
    <t>defunkt@jquery-pjax.xlsx</t>
  </si>
  <si>
    <t>deis@deis.xlsx</t>
  </si>
  <si>
    <t>deivid-rodriguez@byebug.xlsx</t>
  </si>
  <si>
    <t>deivid-rodriguez@pry-byebug.xlsx</t>
  </si>
  <si>
    <t>dennisreimann@ioctocat.xlsx</t>
  </si>
  <si>
    <t>denoland@deno.xlsx</t>
  </si>
  <si>
    <t>denysdovhan@spaceship-prompt.xlsx</t>
  </si>
  <si>
    <t>dependabot@dependabot-core.xlsx</t>
  </si>
  <si>
    <t>deployphp@deployer.xlsx</t>
  </si>
  <si>
    <t>desandro@imagesloaded.xlsx</t>
  </si>
  <si>
    <t>desktop@desktop.xlsx</t>
  </si>
  <si>
    <t>dev-sec@ansible-os-hardening.xlsx</t>
  </si>
  <si>
    <t>devhubapp@devhub.xlsx</t>
  </si>
  <si>
    <t>diaspora@diaspora.xlsx</t>
  </si>
  <si>
    <t>diasurgical@devilutionX.xlsx</t>
  </si>
  <si>
    <t>didi@DoraemonKit.xlsx</t>
  </si>
  <si>
    <t>didi@VirtualAPK.xlsx</t>
  </si>
  <si>
    <t>didi@cube-ui.xlsx</t>
  </si>
  <si>
    <t>didi@rdebug.xlsx</t>
  </si>
  <si>
    <t>dieulot@instantclick.xlsx</t>
  </si>
  <si>
    <t>discord-net@Discord.Net.xlsx</t>
  </si>
  <si>
    <t>discordjs@discord.js.xlsx</t>
  </si>
  <si>
    <t>discourse@discourse.xlsx</t>
  </si>
  <si>
    <t>django-haystack@django-haystack.xlsx</t>
  </si>
  <si>
    <t>django-oscar@django-oscar.xlsx</t>
  </si>
  <si>
    <t>dlemstra@Magick.NET.xlsx</t>
  </si>
  <si>
    <t>dnnsoftware@Dnn.Platform.xlsx</t>
  </si>
  <si>
    <t>docker-archive@docker-registry.xlsx</t>
  </si>
  <si>
    <t>docker@compose.xlsx</t>
  </si>
  <si>
    <t>docker@docker-bench-security.xlsx</t>
  </si>
  <si>
    <t>docker@docker-py.xlsx</t>
  </si>
  <si>
    <t>docker@kitematic.xlsx</t>
  </si>
  <si>
    <t>doctrine@collections.xlsx</t>
  </si>
  <si>
    <t>doctrine@instantiator.xlsx</t>
  </si>
  <si>
    <t>doctrine@orm.xlsx</t>
  </si>
  <si>
    <t>doczjs@docz.xlsx</t>
  </si>
  <si>
    <t>dodyg@practical-aspnetcore.xlsx</t>
  </si>
  <si>
    <t>dogecoin@dogecoin.xlsx</t>
  </si>
  <si>
    <t>dokku@dokku.xlsx</t>
  </si>
  <si>
    <t>dolphin-emu@dolphin.xlsx</t>
  </si>
  <si>
    <t>domaindrivendev@Swashbuckle.AspNetCore.xlsx</t>
  </si>
  <si>
    <t>domaindrivendev@Swashbuckle.xlsx</t>
  </si>
  <si>
    <t>domoticz@domoticz.xlsx</t>
  </si>
  <si>
    <t>dompdf@dompdf.xlsx</t>
  </si>
  <si>
    <t>donnemartin@awesome-aws.xlsx</t>
  </si>
  <si>
    <t>donnemartin@gitsome.xlsx</t>
  </si>
  <si>
    <t>donnemartin@interactive-coding-challenges.xlsx</t>
  </si>
  <si>
    <t>donnemartin@system-design-primer.xlsx</t>
  </si>
  <si>
    <t>doorkeeper-gem@doorkeeper.xlsx</t>
  </si>
  <si>
    <t>dotliquid@dotliquid.xlsx</t>
  </si>
  <si>
    <t>dotnet-ad@Microcharts.xlsx</t>
  </si>
  <si>
    <t>dotnet-architecture@eShopOnContainers.xlsx</t>
  </si>
  <si>
    <t>dotnet@AspNetCore.Docs.xlsx</t>
  </si>
  <si>
    <t>dotnet@BenchmarkDotNet.xlsx</t>
  </si>
  <si>
    <t>dotnet@aspnetcore.xlsx</t>
  </si>
  <si>
    <t>dotnet@command-line-api.xlsx</t>
  </si>
  <si>
    <t>dotnet@docfx.xlsx</t>
  </si>
  <si>
    <t>dotnet@infer.xlsx</t>
  </si>
  <si>
    <t>dotnet@machinelearning.xlsx</t>
  </si>
  <si>
    <t>dotnet@maui.xlsx</t>
  </si>
  <si>
    <t>dotnet@pinvoke.xlsx</t>
  </si>
  <si>
    <t>dotnet@roslyn.xlsx</t>
  </si>
  <si>
    <t>dotnet@runtime.xlsx</t>
  </si>
  <si>
    <t>dotnet@spark.xlsx</t>
  </si>
  <si>
    <t>dotnetcore@WTM.xlsx</t>
  </si>
  <si>
    <t>doublespeakgames@adarkroom.xlsx</t>
  </si>
  <si>
    <t>downshift-js@downshift.xlsx</t>
  </si>
  <si>
    <t>drapergem@draper.xlsx</t>
  </si>
  <si>
    <t>drewm@mailchimp-api.xlsx</t>
  </si>
  <si>
    <t>drhenner@ror_ecommerce.xlsx</t>
  </si>
  <si>
    <t>dropwizard@dropwizard.xlsx</t>
  </si>
  <si>
    <t>drwetter@testssl.sh.xlsx</t>
  </si>
  <si>
    <t>dry-rb@dry-validation.xlsx</t>
  </si>
  <si>
    <t>dsherret@ts-morph.xlsx</t>
  </si>
  <si>
    <t>dtan4@terraforming.xlsx</t>
  </si>
  <si>
    <t>dtao@lazy.js.xlsx</t>
  </si>
  <si>
    <t>dubzzz@fast-check.xlsx</t>
  </si>
  <si>
    <t>dustin10@VichUploaderBundle.xlsx</t>
  </si>
  <si>
    <t>dvorka@mindforger.xlsx</t>
  </si>
  <si>
    <t>dwmkerr@hacker-laws.xlsx</t>
  </si>
  <si>
    <t>dylanaraps@neofetch.xlsx</t>
  </si>
  <si>
    <t>dylanaraps@pure-bash-bible.xlsx</t>
  </si>
  <si>
    <t>eamodio@vscode-gitlens.xlsx</t>
  </si>
  <si>
    <t>eclipse-theia@theia.xlsx</t>
  </si>
  <si>
    <t>eclipse-vertx@vert.x.xlsx</t>
  </si>
  <si>
    <t>eclipse@che.xlsx</t>
  </si>
  <si>
    <t>eclipse@deeplearning4j.xlsx</t>
  </si>
  <si>
    <t>eclipse@jetty.project.xlsx</t>
  </si>
  <si>
    <t>eclipse@mosquitto.xlsx</t>
  </si>
  <si>
    <t>eclipse@mraa.xlsx</t>
  </si>
  <si>
    <t>eclipse@openj9.xlsx</t>
  </si>
  <si>
    <t>ecrmnn@collect.js.xlsx</t>
  </si>
  <si>
    <t>edavis10@redmine.xlsx</t>
  </si>
  <si>
    <t>education@classroom.xlsx</t>
  </si>
  <si>
    <t>eggjs@egg.xlsx</t>
  </si>
  <si>
    <t>elastic@cookbook-elasticsearch.xlsx</t>
  </si>
  <si>
    <t>elastic@curator.xlsx</t>
  </si>
  <si>
    <t>elastic@elasticsearch-net.xlsx</t>
  </si>
  <si>
    <t>elastic@elasticsearch-php.xlsx</t>
  </si>
  <si>
    <t>elastic@elasticsearch-py.xlsx</t>
  </si>
  <si>
    <t>elastic@elasticsearch-rails.xlsx</t>
  </si>
  <si>
    <t>elastic@elasticsearch-ruby.xlsx</t>
  </si>
  <si>
    <t>elastic@eui.xlsx</t>
  </si>
  <si>
    <t>elastic@logstash.xlsx</t>
  </si>
  <si>
    <t>elbywan@wretch.xlsx</t>
  </si>
  <si>
    <t>electerious@Lychee.xlsx</t>
  </si>
  <si>
    <t>electron@electron-packager.xlsx</t>
  </si>
  <si>
    <t>electron@fiddle.xlsx</t>
  </si>
  <si>
    <t>electronicarts@EASTL.xlsx</t>
  </si>
  <si>
    <t>elementary@website.xlsx</t>
  </si>
  <si>
    <t>elninotech@uppload.xlsx</t>
  </si>
  <si>
    <t>elsa-workflows@elsa-core.xlsx</t>
  </si>
  <si>
    <t>emberjs@ember.js.xlsx</t>
  </si>
  <si>
    <t>emcrisostomo@fswatch.xlsx</t>
  </si>
  <si>
    <t>emojicode@emojicode.xlsx</t>
  </si>
  <si>
    <t>emotion-js@emotion.xlsx</t>
  </si>
  <si>
    <t>encode@django-rest-framework.xlsx</t>
  </si>
  <si>
    <t>endless-sky@endless-sky.xlsx</t>
  </si>
  <si>
    <t>enkodellc@blazorboilerplate.xlsx</t>
  </si>
  <si>
    <t>enquirer@enquirer.xlsx</t>
  </si>
  <si>
    <t>envoyproxy@envoy.xlsx</t>
  </si>
  <si>
    <t>enzymejs@enzyme.xlsx</t>
  </si>
  <si>
    <t>erikhuda@thor.xlsx</t>
  </si>
  <si>
    <t>erikras@react-redux-universal-hot-example.xlsx</t>
  </si>
  <si>
    <t>errbit@errbit.xlsx</t>
  </si>
  <si>
    <t>erxes@erxes.xlsx</t>
  </si>
  <si>
    <t>eslint@eslint.xlsx</t>
  </si>
  <si>
    <t>esphome@esphome.xlsx</t>
  </si>
  <si>
    <t>espnet@espnet.xlsx</t>
  </si>
  <si>
    <t>espruino@Espruino.xlsx</t>
  </si>
  <si>
    <t>esvit@ng-table.xlsx</t>
  </si>
  <si>
    <t>ether@etherpad-lite.xlsx</t>
  </si>
  <si>
    <t>ethereum@aleth.xlsx</t>
  </si>
  <si>
    <t>ethereum@mist.xlsx</t>
  </si>
  <si>
    <t>ethereumbook@ethereumbook.xlsx</t>
  </si>
  <si>
    <t>eventflow@EventFlow.xlsx</t>
  </si>
  <si>
    <t>evhub@coconut.xlsx</t>
  </si>
  <si>
    <t>evrone@quiet_assets.xlsx</t>
  </si>
  <si>
    <t>example42@psick.xlsx</t>
  </si>
  <si>
    <t>excalidraw@excalidraw.xlsx</t>
  </si>
  <si>
    <t>exceptionless@Exceptionless.xlsx</t>
  </si>
  <si>
    <t>excon@excon.xlsx</t>
  </si>
  <si>
    <t>explosion@spaCy.xlsx</t>
  </si>
  <si>
    <t>expo@expo-cli.xlsx</t>
  </si>
  <si>
    <t>express-validator@express-validator.xlsx</t>
  </si>
  <si>
    <t>expressjs@express.xlsx</t>
  </si>
  <si>
    <t>eykrehbein@strest.xlsx</t>
  </si>
  <si>
    <t>fabricjs@fabric.js.xlsx</t>
  </si>
  <si>
    <t>facade@ignition.xlsx</t>
  </si>
  <si>
    <t>facebook@PathPicker.xlsx</t>
  </si>
  <si>
    <t>facebook@Surround360.xlsx</t>
  </si>
  <si>
    <t>facebook@buck.xlsx</t>
  </si>
  <si>
    <t>facebook@chisel.xlsx</t>
  </si>
  <si>
    <t>facebook@create-react-app.xlsx</t>
  </si>
  <si>
    <t>facebook@docusaurus.xlsx</t>
  </si>
  <si>
    <t>facebook@draft-js.xlsx</t>
  </si>
  <si>
    <t>facebook@facebook-android-sdk.xlsx</t>
  </si>
  <si>
    <t>facebook@fb-adb.xlsx</t>
  </si>
  <si>
    <t>facebook@fbthrift.xlsx</t>
  </si>
  <si>
    <t>facebook@fishhook.xlsx</t>
  </si>
  <si>
    <t>facebook@flipper.xlsx</t>
  </si>
  <si>
    <t>facebook@flux.xlsx</t>
  </si>
  <si>
    <t>facebook@folly.xlsx</t>
  </si>
  <si>
    <t>facebook@fresco.xlsx</t>
  </si>
  <si>
    <t>facebook@hermes.xlsx</t>
  </si>
  <si>
    <t>facebook@jest.xlsx</t>
  </si>
  <si>
    <t>facebook@litho.xlsx</t>
  </si>
  <si>
    <t>facebook@mcrouter.xlsx</t>
  </si>
  <si>
    <t>facebook@prophet.xlsx</t>
  </si>
  <si>
    <t>facebook@proxygen.xlsx</t>
  </si>
  <si>
    <t>facebook@react-native.xlsx</t>
  </si>
  <si>
    <t>facebook@redex.xlsx</t>
  </si>
  <si>
    <t>facebook@rocksdb.xlsx</t>
  </si>
  <si>
    <t>facebook@shimmer-android.xlsx</t>
  </si>
  <si>
    <t>facebook@stetho.xlsx</t>
  </si>
  <si>
    <t>facebook@wangle.xlsx</t>
  </si>
  <si>
    <t>facebook@wdt.xlsx</t>
  </si>
  <si>
    <t>facebook@xcbuild.xlsx</t>
  </si>
  <si>
    <t>facebook@yoga.xlsx</t>
  </si>
  <si>
    <t>facebook@zstd.xlsx</t>
  </si>
  <si>
    <t>facebookarchive@Flicks.xlsx</t>
  </si>
  <si>
    <t>facebookarchive@Keyframes.xlsx</t>
  </si>
  <si>
    <t>facebookarchive@augmented-traffic-control.xlsx</t>
  </si>
  <si>
    <t>facebookarchive@beringei.xlsx</t>
  </si>
  <si>
    <t>facebookarchive@conceal.xlsx</t>
  </si>
  <si>
    <t>facebookarchive@device-year-class.xlsx</t>
  </si>
  <si>
    <t>facebookarchive@huxley.xlsx</t>
  </si>
  <si>
    <t>facebookarchive@network-connection-class.xlsx</t>
  </si>
  <si>
    <t>facebookexperimental@Recoil.xlsx</t>
  </si>
  <si>
    <t>facebookincubator@LogDevice.xlsx</t>
  </si>
  <si>
    <t>facebookincubator@katran.xlsx</t>
  </si>
  <si>
    <t>facebookincubator@redux-react-hook.xlsx</t>
  </si>
  <si>
    <t>facebookincubator@spectrum.xlsx</t>
  </si>
  <si>
    <t>facebookresearch@Detectron.xlsx</t>
  </si>
  <si>
    <t>facebookresearch@DrQA.xlsx</t>
  </si>
  <si>
    <t>facebookresearch@ELF.xlsx</t>
  </si>
  <si>
    <t>facebookresearch@LASER.xlsx</t>
  </si>
  <si>
    <t>facebookresearch@ParlAI.xlsx</t>
  </si>
  <si>
    <t>facebookresearch@SlowFast.xlsx</t>
  </si>
  <si>
    <t>facebookresearch@SparseConvNet.xlsx</t>
  </si>
  <si>
    <t>facebookresearch@StarSpace.xlsx</t>
  </si>
  <si>
    <t>facebookresearch@TensorComprehensions.xlsx</t>
  </si>
  <si>
    <t>facebookresearch@darkforestGo.xlsx</t>
  </si>
  <si>
    <t>facebookresearch@detectron2.xlsx</t>
  </si>
  <si>
    <t>facebookresearch@detr.xlsx</t>
  </si>
  <si>
    <t>facebookresearch@faiss.xlsx</t>
  </si>
  <si>
    <t>facebookresearch@hiplot.xlsx</t>
  </si>
  <si>
    <t>facebookresearch@maskrcnn-benchmark.xlsx</t>
  </si>
  <si>
    <t>facebookresearch@pifuhd.xlsx</t>
  </si>
  <si>
    <t>facebookresearch@pytext.xlsx</t>
  </si>
  <si>
    <t>facebookresearch@visdom.xlsx</t>
  </si>
  <si>
    <t>facebookresearch@wav2letter.xlsx</t>
  </si>
  <si>
    <t>fahad19@proppy.xlsx</t>
  </si>
  <si>
    <t>fail2ban@fail2ban.xlsx</t>
  </si>
  <si>
    <t>faker-ruby@faker.xlsx</t>
  </si>
  <si>
    <t>falconry@falcon.xlsx</t>
  </si>
  <si>
    <t>falcosecurity@falco.xlsx</t>
  </si>
  <si>
    <t>fastify@fastify.xlsx</t>
  </si>
  <si>
    <t>fastio@1store.xlsx</t>
  </si>
  <si>
    <t>fastlane@ci.xlsx</t>
  </si>
  <si>
    <t>fastlane@fastlane.xlsx</t>
  </si>
  <si>
    <t>fbsamples@f8app.xlsx</t>
  </si>
  <si>
    <t>fdorg@flashdevelop.xlsx</t>
  </si>
  <si>
    <t>feathericons@feather.xlsx</t>
  </si>
  <si>
    <t>feathersjs@feathers.xlsx</t>
  </si>
  <si>
    <t>fengyuanchen@viewerjs.xlsx</t>
  </si>
  <si>
    <t>fgnass@spin.js.xlsx</t>
  </si>
  <si>
    <t>fgrehm@vagrant-lxc.xlsx</t>
  </si>
  <si>
    <t>filamentgroup@loadCSS.xlsx</t>
  </si>
  <si>
    <t>filp@whoops.xlsx</t>
  </si>
  <si>
    <t>final-form@react-final-form.xlsx</t>
  </si>
  <si>
    <t>firebase@FirebaseUI-Android.xlsx</t>
  </si>
  <si>
    <t>firebase@firebase-admin-node.xlsx</t>
  </si>
  <si>
    <t>firebase@firebase-js-sdk.xlsx</t>
  </si>
  <si>
    <t>firebase@firebase-tools.xlsx</t>
  </si>
  <si>
    <t>firebase@functions-samples.xlsx</t>
  </si>
  <si>
    <t>firebase@geofire-js.xlsx</t>
  </si>
  <si>
    <t>firebase@quickstart-android.xlsx</t>
  </si>
  <si>
    <t>firefly-iii@firefly-iii.xlsx</t>
  </si>
  <si>
    <t>fkhadra@react-toastify.xlsx</t>
  </si>
  <si>
    <t>flairNLP@flair.xlsx</t>
  </si>
  <si>
    <t>flatpickr@flatpickr.xlsx</t>
  </si>
  <si>
    <t>flightjs@flight.xlsx</t>
  </si>
  <si>
    <t>flot@flot.xlsx</t>
  </si>
  <si>
    <t>fluent@fluent-bit.xlsx</t>
  </si>
  <si>
    <t>fluent@fluentd.xlsx</t>
  </si>
  <si>
    <t>fluentassertions@fluentassertions.xlsx</t>
  </si>
  <si>
    <t>foambubble@foam.xlsx</t>
  </si>
  <si>
    <t>fog@fog.xlsx</t>
  </si>
  <si>
    <t>foliojs@pdfkit.xlsx</t>
  </si>
  <si>
    <t>fontello@fontello.xlsx</t>
  </si>
  <si>
    <t>fontforge@fontforge.xlsx</t>
  </si>
  <si>
    <t>forem@forem.xlsx</t>
  </si>
  <si>
    <t>forkcms@forkcms.xlsx</t>
  </si>
  <si>
    <t>formatjs@formatjs.xlsx</t>
  </si>
  <si>
    <t>formium@tsdx.xlsx</t>
  </si>
  <si>
    <t>formspree@formspree.xlsx</t>
  </si>
  <si>
    <t>fossasia@loklak_search.xlsx</t>
  </si>
  <si>
    <t>fossasia@susper.com.xlsx</t>
  </si>
  <si>
    <t>framer@motion.xlsx</t>
  </si>
  <si>
    <t>framework7io@framework7.xlsx</t>
  </si>
  <si>
    <t>frappe@erpnext.xlsx</t>
  </si>
  <si>
    <t>freeCodeCamp@chapter.xlsx</t>
  </si>
  <si>
    <t>freeCodeCamp@devdocs.xlsx</t>
  </si>
  <si>
    <t>frenck@awesome-home-assistant.xlsx</t>
  </si>
  <si>
    <t>frontity@frontity.xlsx</t>
  </si>
  <si>
    <t>fsquillace@junest.xlsx</t>
  </si>
  <si>
    <t>fullcalendar@fullcalendar.xlsx</t>
  </si>
  <si>
    <t>fwupd@fwupd.xlsx</t>
  </si>
  <si>
    <t>gaearon@react-hot-loader.xlsx</t>
  </si>
  <si>
    <t>garden-io@garden.xlsx</t>
  </si>
  <si>
    <t>gchq@CyberChef.xlsx</t>
  </si>
  <si>
    <t>gdg-x@hoverboard.xlsx</t>
  </si>
  <si>
    <t>geeeeeeeeek@electronic-wechat.xlsx</t>
  </si>
  <si>
    <t>geocoder-php@Geocoder.xlsx</t>
  </si>
  <si>
    <t>geometry-zsh@geometry.xlsx</t>
  </si>
  <si>
    <t>geopy@geopy.xlsx</t>
  </si>
  <si>
    <t>getgrav@grav.xlsx</t>
  </si>
  <si>
    <t>getredash@redash.xlsx</t>
  </si>
  <si>
    <t>getsentry@sentry-javascript.xlsx</t>
  </si>
  <si>
    <t>getsentry@sentry-react-native.xlsx</t>
  </si>
  <si>
    <t>ggreer@the_silver_searcher.xlsx</t>
  </si>
  <si>
    <t>giacomelli@GeneticSharp.xlsx</t>
  </si>
  <si>
    <t>gilbarbara@react-inlinesvg.xlsx</t>
  </si>
  <si>
    <t>ging@social_stream.xlsx</t>
  </si>
  <si>
    <t>gionkunz@chartist-js.xlsx</t>
  </si>
  <si>
    <t>git-tfs@git-tfs.xlsx</t>
  </si>
  <si>
    <t>git-tips@tips.xlsx</t>
  </si>
  <si>
    <t>git@git.xlsx</t>
  </si>
  <si>
    <t>gitextensions@gitextensions.xlsx</t>
  </si>
  <si>
    <t>github-changelog-generator@github-changelog-generator.xlsx</t>
  </si>
  <si>
    <t>github-for-unity@Unity.xlsx</t>
  </si>
  <si>
    <t>github@backup-utils.xlsx</t>
  </si>
  <si>
    <t>github@brubeck.xlsx</t>
  </si>
  <si>
    <t>github@choosealicense.com.xlsx</t>
  </si>
  <si>
    <t>github@developer.github.com.xlsx</t>
  </si>
  <si>
    <t>github@explore.xlsx</t>
  </si>
  <si>
    <t>github@fetch.xlsx</t>
  </si>
  <si>
    <t>github@gemoji.xlsx</t>
  </si>
  <si>
    <t>github@github-services.xlsx</t>
  </si>
  <si>
    <t>github@glb-director.xlsx</t>
  </si>
  <si>
    <t>github@janky.xlsx</t>
  </si>
  <si>
    <t>github@linguist.xlsx</t>
  </si>
  <si>
    <t>github@markup.xlsx</t>
  </si>
  <si>
    <t>github@opensource.guide.xlsx</t>
  </si>
  <si>
    <t>github@opensourcefriday.xlsx</t>
  </si>
  <si>
    <t>github@pages-gem.xlsx</t>
  </si>
  <si>
    <t>github@scientist.xlsx</t>
  </si>
  <si>
    <t>github@scripts-to-rule-them-all.xlsx</t>
  </si>
  <si>
    <t>github@secure_headers.xlsx</t>
  </si>
  <si>
    <t>github@super-linter.xlsx</t>
  </si>
  <si>
    <t>github@view_component.xlsx</t>
  </si>
  <si>
    <t>gitlabhq@gitlab-ci.xlsx</t>
  </si>
  <si>
    <t>gitlabhq@gitlabhq.xlsx</t>
  </si>
  <si>
    <t>gitpitch@gitpitch.xlsx</t>
  </si>
  <si>
    <t>glfw@glfw.xlsx</t>
  </si>
  <si>
    <t>globalize@globalize.xlsx</t>
  </si>
  <si>
    <t>glpi-project@glpi.xlsx</t>
  </si>
  <si>
    <t>gnuradio@gnuradio.xlsx</t>
  </si>
  <si>
    <t>go-lang-plugin-org@go-lang-idea-plugin.xlsx</t>
  </si>
  <si>
    <t>go-modules-by-example@index.xlsx</t>
  </si>
  <si>
    <t>gocardless@statesman.xlsx</t>
  </si>
  <si>
    <t>gocd@gocd.xlsx</t>
  </si>
  <si>
    <t>godotengine@godot.xlsx</t>
  </si>
  <si>
    <t>gollum@gollum.xlsx</t>
  </si>
  <si>
    <t>google-ar@arcore-android-sdk.xlsx</t>
  </si>
  <si>
    <t>google-ar@arcore-unity-sdk.xlsx</t>
  </si>
  <si>
    <t>google-research@bert.xlsx</t>
  </si>
  <si>
    <t>google-research@text-to-text-transfer-transformer.xlsx</t>
  </si>
  <si>
    <t>google@AFL.xlsx</t>
  </si>
  <si>
    <t>google@agera.xlsx</t>
  </si>
  <si>
    <t>google@auto.xlsx</t>
  </si>
  <si>
    <t>google@binnavi.xlsx</t>
  </si>
  <si>
    <t>google@bloaty.xlsx</t>
  </si>
  <si>
    <t>google@brotli.xlsx</t>
  </si>
  <si>
    <t>google@cameraview.xlsx</t>
  </si>
  <si>
    <t>google@clusterfuzz.xlsx</t>
  </si>
  <si>
    <t>google@cpu_features.xlsx</t>
  </si>
  <si>
    <t>google@data-transfer-project.xlsx</t>
  </si>
  <si>
    <t>google@draco.xlsx</t>
  </si>
  <si>
    <t>google@earthenterprise.xlsx</t>
  </si>
  <si>
    <t>google@eddystone.xlsx</t>
  </si>
  <si>
    <t>google@error-prone.xlsx</t>
  </si>
  <si>
    <t>google@filament.xlsx</t>
  </si>
  <si>
    <t>google@flatbuffers.xlsx</t>
  </si>
  <si>
    <t>google@flutter-desktop-embedding.xlsx</t>
  </si>
  <si>
    <t>google@fruit.xlsx</t>
  </si>
  <si>
    <t>google@glog.xlsx</t>
  </si>
  <si>
    <t>google@google-authenticator-libpam.xlsx</t>
  </si>
  <si>
    <t>google@google-java-format.xlsx</t>
  </si>
  <si>
    <t>google@googletest.xlsx</t>
  </si>
  <si>
    <t>google@gts.xlsx</t>
  </si>
  <si>
    <t>google@guava.xlsx</t>
  </si>
  <si>
    <t>google@guetzli.xlsx</t>
  </si>
  <si>
    <t>google@guice.xlsx</t>
  </si>
  <si>
    <t>google@honggfuzz.xlsx</t>
  </si>
  <si>
    <t>google@ion.xlsx</t>
  </si>
  <si>
    <t>google@j2objc.xlsx</t>
  </si>
  <si>
    <t>google@jax.xlsx</t>
  </si>
  <si>
    <t>google@leveldb.xlsx</t>
  </si>
  <si>
    <t>google@libphonenumber.xlsx</t>
  </si>
  <si>
    <t>google@lovefield.xlsx</t>
  </si>
  <si>
    <t>google@model-viewer.xlsx</t>
  </si>
  <si>
    <t>google@ngx_brotli.xlsx</t>
  </si>
  <si>
    <t>google@oboe.xlsx</t>
  </si>
  <si>
    <t>google@oss-fuzz.xlsx</t>
  </si>
  <si>
    <t>google@physical-web.xlsx</t>
  </si>
  <si>
    <t>google@python-fire.xlsx</t>
  </si>
  <si>
    <t>google@pytype.xlsx</t>
  </si>
  <si>
    <t>google@recaptcha.xlsx</t>
  </si>
  <si>
    <t>google@rejoiner.xlsx</t>
  </si>
  <si>
    <t>google@robotstxt.xlsx</t>
  </si>
  <si>
    <t>google@sandboxed-api.xlsx</t>
  </si>
  <si>
    <t>google@sentencepiece.xlsx</t>
  </si>
  <si>
    <t>google@seq2seq.xlsx</t>
  </si>
  <si>
    <t>google@snappy.xlsx</t>
  </si>
  <si>
    <t>google@tcmalloc.xlsx</t>
  </si>
  <si>
    <t>google@tink.xlsx</t>
  </si>
  <si>
    <t>google@trax.xlsx</t>
  </si>
  <si>
    <t>google@tsunami-security-scanner.xlsx</t>
  </si>
  <si>
    <t>google@volley.xlsx</t>
  </si>
  <si>
    <t>google@wuffs.xlsx</t>
  </si>
  <si>
    <t>google@zopfli.xlsx</t>
  </si>
  <si>
    <t>googleanalytics@autotrack.xlsx</t>
  </si>
  <si>
    <t>googleapis@google-api-dotnet-client.xlsx</t>
  </si>
  <si>
    <t>googleapis@google-api-nodejs-client.xlsx</t>
  </si>
  <si>
    <t>googleapis@google-api-php-client.xlsx</t>
  </si>
  <si>
    <t>googleapis@google-api-ruby-client.xlsx</t>
  </si>
  <si>
    <t>googleapis@google-auth-library-nodejs.xlsx</t>
  </si>
  <si>
    <t>googleapis@google-cloud-ruby.xlsx</t>
  </si>
  <si>
    <t>googlearchive@android-Camera2Basic.xlsx</t>
  </si>
  <si>
    <t>googlearchive@android-ConstraintLayoutExamples.xlsx</t>
  </si>
  <si>
    <t>googlecreativelab@open-nsynth-super.xlsx</t>
  </si>
  <si>
    <t>googledatalab@datalab.xlsx</t>
  </si>
  <si>
    <t>googlemaps@google-maps-services-js.xlsx</t>
  </si>
  <si>
    <t>googleprojectzero@winafl.xlsx</t>
  </si>
  <si>
    <t>googlesamples@google-services.xlsx</t>
  </si>
  <si>
    <t>googlevr@gvr-unity-sdk.xlsx</t>
  </si>
  <si>
    <t>gosu@gosu.xlsx</t>
  </si>
  <si>
    <t>gpujs@gpu.js.xlsx</t>
  </si>
  <si>
    <t>gradle@gradle-completion.xlsx</t>
  </si>
  <si>
    <t>grafana@grafana.xlsx</t>
  </si>
  <si>
    <t>grandnode@grandnode.xlsx</t>
  </si>
  <si>
    <t>graphhopper@graphhopper.xlsx</t>
  </si>
  <si>
    <t>graphile@postgraphile.xlsx</t>
  </si>
  <si>
    <t>graphql-editor@graphql-editor.xlsx</t>
  </si>
  <si>
    <t>graphql-editor@graphql-zeus.xlsx</t>
  </si>
  <si>
    <t>graphql-java@graphql-java.xlsx</t>
  </si>
  <si>
    <t>graphql-python@graphene-django.xlsx</t>
  </si>
  <si>
    <t>graphql@dataloader.xlsx</t>
  </si>
  <si>
    <t>graphql@graphiql.xlsx</t>
  </si>
  <si>
    <t>graphql@graphql-spec.xlsx</t>
  </si>
  <si>
    <t>greenplum-db@gpdb.xlsx</t>
  </si>
  <si>
    <t>greenrobot@EventBus.xlsx</t>
  </si>
  <si>
    <t>greenshot@greenshot.xlsx</t>
  </si>
  <si>
    <t>gregberge@svgr.xlsx</t>
  </si>
  <si>
    <t>greymd@tmux-xpanes.xlsx</t>
  </si>
  <si>
    <t>grpc@grpc-java.xlsx</t>
  </si>
  <si>
    <t>grpc@grpc.xlsx</t>
  </si>
  <si>
    <t>gsuitedevs@md2googleslides.xlsx</t>
  </si>
  <si>
    <t>guard@guard-rspec.xlsx</t>
  </si>
  <si>
    <t>guard@guard.xlsx</t>
  </si>
  <si>
    <t>guard@listen.xlsx</t>
  </si>
  <si>
    <t>guess-js@guess.xlsx</t>
  </si>
  <si>
    <t>guillaumechereau@goxel.xlsx</t>
  </si>
  <si>
    <t>guillaumepotier@Parsley.js.xlsx</t>
  </si>
  <si>
    <t>guipdutra@awesome-geek-podcasts.xlsx</t>
  </si>
  <si>
    <t>gulpjs@gulp.xlsx</t>
  </si>
  <si>
    <t>h2o@h2o.xlsx</t>
  </si>
  <si>
    <t>h5bp@html5-boilerplate.xlsx</t>
  </si>
  <si>
    <t>h6ah4i@android-advancedrecyclerview.xlsx</t>
  </si>
  <si>
    <t>hacksalot@HackMyResume.xlsx</t>
  </si>
  <si>
    <t>haifengl@smile.xlsx</t>
  </si>
  <si>
    <t>hakimel@reveal.js.xlsx</t>
  </si>
  <si>
    <t>haltu@muuri.xlsx</t>
  </si>
  <si>
    <t>hanami@hanami.xlsx</t>
  </si>
  <si>
    <t>handlebars-lang@handlebars.js.xlsx</t>
  </si>
  <si>
    <t>happynear@caffe-windows.xlsx</t>
  </si>
  <si>
    <t>hardkoded@puppeteer-sharp.xlsx</t>
  </si>
  <si>
    <t>hardware@mailserver.xlsx</t>
  </si>
  <si>
    <t>hashicorp@vagrant.xlsx</t>
  </si>
  <si>
    <t>hashie@hashie.xlsx</t>
  </si>
  <si>
    <t>hasura@skor.xlsx</t>
  </si>
  <si>
    <t>hazelcast@hazelcast.xlsx</t>
  </si>
  <si>
    <t>hbons@SparkleShare.xlsx</t>
  </si>
  <si>
    <t>heartcombo@devise.xlsx</t>
  </si>
  <si>
    <t>heartcombo@mail_form.xlsx</t>
  </si>
  <si>
    <t>heartcombo@simple_form.xlsx</t>
  </si>
  <si>
    <t>hediet@vscode-debug-visualizer.xlsx</t>
  </si>
  <si>
    <t>helmetjs@helmet.xlsx</t>
  </si>
  <si>
    <t>helpyio@helpy.xlsx</t>
  </si>
  <si>
    <t>hensm@fx_cast.xlsx</t>
  </si>
  <si>
    <t>heroku@heroku-buildpack-nodejs.xlsx</t>
  </si>
  <si>
    <t>hexojs@hexo.xlsx</t>
  </si>
  <si>
    <t>hibernate@hibernate-orm.xlsx</t>
  </si>
  <si>
    <t>highcharts@highcharts.xlsx</t>
  </si>
  <si>
    <t>hirschmann@nbfc.xlsx</t>
  </si>
  <si>
    <t>hishamhm@htop.xlsx</t>
  </si>
  <si>
    <t>home-assistant@core.xlsx</t>
  </si>
  <si>
    <t>homebridge@homebridge.xlsx</t>
  </si>
  <si>
    <t>homenc@HElib.xlsx</t>
  </si>
  <si>
    <t>horovod@horovod.xlsx</t>
  </si>
  <si>
    <t>hothero@awesome-rails-gem.xlsx</t>
  </si>
  <si>
    <t>houndci@hound.xlsx</t>
  </si>
  <si>
    <t>housseindjirdeh@angular2-hn.xlsx</t>
  </si>
  <si>
    <t>houtianze@bypy.xlsx</t>
  </si>
  <si>
    <t>howdyai@botkit.xlsx</t>
  </si>
  <si>
    <t>hpneo@gmaps.xlsx</t>
  </si>
  <si>
    <t>hql287@Manta.xlsx</t>
  </si>
  <si>
    <t>hshoff@vx.xlsx</t>
  </si>
  <si>
    <t>hsoft@collapseos.xlsx</t>
  </si>
  <si>
    <t>hszhao@PSPNet.xlsx</t>
  </si>
  <si>
    <t>hteso@iaito.xlsx</t>
  </si>
  <si>
    <t>httprb@http.xlsx</t>
  </si>
  <si>
    <t>hubotio@hubot.xlsx</t>
  </si>
  <si>
    <t>hugapi@hug.xlsx</t>
  </si>
  <si>
    <t>huggingface@nlp.xlsx</t>
  </si>
  <si>
    <t>huggingface@transformers.xlsx</t>
  </si>
  <si>
    <t>hugsy@gef.xlsx</t>
  </si>
  <si>
    <t>humbug@humbug.xlsx</t>
  </si>
  <si>
    <t>humhub@humhub.xlsx</t>
  </si>
  <si>
    <t>hybridauth@hybridauth.xlsx</t>
  </si>
  <si>
    <t>hyperledger-archives@iroha.xlsx</t>
  </si>
  <si>
    <t>i3@i3.xlsx</t>
  </si>
  <si>
    <t>iBotPeaches@Apktool.xlsx</t>
  </si>
  <si>
    <t>iNPUTmice@Conversations.xlsx</t>
  </si>
  <si>
    <t>iamkun@dayjs.xlsx</t>
  </si>
  <si>
    <t>ianstormtaylor@slate.xlsx</t>
  </si>
  <si>
    <t>iberianpig@fusuma.xlsx</t>
  </si>
  <si>
    <t>icicleio@icicle.xlsx</t>
  </si>
  <si>
    <t>icsharpcode@SharpDevelop.xlsx</t>
  </si>
  <si>
    <t>icsharpcode@SharpZipLib.xlsx</t>
  </si>
  <si>
    <t>idealo@imagededup.xlsx</t>
  </si>
  <si>
    <t>idiotWu@smooth-scrollbar.xlsx</t>
  </si>
  <si>
    <t>ifmeorg@ifme.xlsx</t>
  </si>
  <si>
    <t>igraph@igraph.xlsx</t>
  </si>
  <si>
    <t>illacceptanything@illacceptanything.xlsx</t>
  </si>
  <si>
    <t>iluminar@goodwork.xlsx</t>
  </si>
  <si>
    <t>imWildCat@scylla.xlsx</t>
  </si>
  <si>
    <t>imakewebthings@waypoints.xlsx</t>
  </si>
  <si>
    <t>immutable-js@immutable-js.xlsx</t>
  </si>
  <si>
    <t>improbable-eng@grpc-web.xlsx</t>
  </si>
  <si>
    <t>include-what-you-use@include-what-you-use.xlsx</t>
  </si>
  <si>
    <t>indiespirit@react-native-chart-kit.xlsx</t>
  </si>
  <si>
    <t>infection@infection.xlsx</t>
  </si>
  <si>
    <t>infinitered@ProMotion.xlsx</t>
  </si>
  <si>
    <t>infinitered@gluegun.xlsx</t>
  </si>
  <si>
    <t>infinitered@ignite.xlsx</t>
  </si>
  <si>
    <t>infinitered@reactotron.xlsx</t>
  </si>
  <si>
    <t>influxdata@chronograf.xlsx</t>
  </si>
  <si>
    <t>inspec@inspec.xlsx</t>
  </si>
  <si>
    <t>instructure@canvas-lms.xlsx</t>
  </si>
  <si>
    <t>intel@haxm.xlsx</t>
  </si>
  <si>
    <t>interagent@prmd.xlsx</t>
  </si>
  <si>
    <t>interpretml@interpret.xlsx</t>
  </si>
  <si>
    <t>intuit@karate.xlsx</t>
  </si>
  <si>
    <t>inversify@InversifyJS.xlsx</t>
  </si>
  <si>
    <t>invoiceninja@invoiceninja.xlsx</t>
  </si>
  <si>
    <t>iodide-project@pyodide.xlsx</t>
  </si>
  <si>
    <t>ionic-team@capacitor.xlsx</t>
  </si>
  <si>
    <t>ionic-team@ionic-cli.xlsx</t>
  </si>
  <si>
    <t>ionic-team@ionic-conference-app.xlsx</t>
  </si>
  <si>
    <t>ionic-team@ionic-framework.xlsx</t>
  </si>
  <si>
    <t>ionic-team@ionic-native.xlsx</t>
  </si>
  <si>
    <t>ionic-team@ionicons.xlsx</t>
  </si>
  <si>
    <t>ionic-team@stencil.xlsx</t>
  </si>
  <si>
    <t>iptv-org@iptv.xlsx</t>
  </si>
  <si>
    <t>ipython@ipython.xlsx</t>
  </si>
  <si>
    <t>iqiyi@dpvs.xlsx</t>
  </si>
  <si>
    <t>iqiyi@xCrash.xlsx</t>
  </si>
  <si>
    <t>iqiyi@xHook.xlsx</t>
  </si>
  <si>
    <t>irtimmer@moonlight-embedded.xlsx</t>
  </si>
  <si>
    <t>isocpp@CppCoreGuidelines.xlsx</t>
  </si>
  <si>
    <t>isomorphic-git@isomorphic-git.xlsx</t>
  </si>
  <si>
    <t>itchio@itch.xlsx</t>
  </si>
  <si>
    <t>itext@itextsharp.xlsx</t>
  </si>
  <si>
    <t>ivandavidov@minimal.xlsx</t>
  </si>
  <si>
    <t>j4mie@paris.xlsx</t>
  </si>
  <si>
    <t>jMonkeyEngine@jmonkeyengine.xlsx</t>
  </si>
  <si>
    <t>jabbany@CommentCoreLibrary.xlsx</t>
  </si>
  <si>
    <t>jackocnr@intl-tel-input.xlsx</t>
  </si>
  <si>
    <t>jakesgordon@javascript-state-machine.xlsx</t>
  </si>
  <si>
    <t>jakubgarfield@Bonobo-Git-Server.xlsx</t>
  </si>
  <si>
    <t>jamesmfriedman@rmwc.xlsx</t>
  </si>
  <si>
    <t>jamesmh@coravel.xlsx</t>
  </si>
  <si>
    <t>janet-lang@janet.xlsx</t>
  </si>
  <si>
    <t>janpaepke@ScrollMagic.xlsx</t>
  </si>
  <si>
    <t>jaredpalmer@razzle.xlsx</t>
  </si>
  <si>
    <t>jashkenas@backbone.xlsx</t>
  </si>
  <si>
    <t>jashkenas@ruby-processing.xlsx</t>
  </si>
  <si>
    <t>jashkenas@underscore.xlsx</t>
  </si>
  <si>
    <t>jasperproject@jasper-client.xlsx</t>
  </si>
  <si>
    <t>javafxports@openjdk-jfx.xlsx</t>
  </si>
  <si>
    <t>javaparser@javaparser.xlsx</t>
  </si>
  <si>
    <t>javascript-obfuscator@javascript-obfuscator.xlsx</t>
  </si>
  <si>
    <t>jaywcjlove@awesome-mac.xlsx</t>
  </si>
  <si>
    <t>jazzband@pip-tools.xlsx</t>
  </si>
  <si>
    <t>jbeder@yaml-cpp.xlsx</t>
  </si>
  <si>
    <t>jbush001@NyuziProcessor.xlsx</t>
  </si>
  <si>
    <t>jch@html-pipeline.xlsx</t>
  </si>
  <si>
    <t>jeelabs@esp-link.xlsx</t>
  </si>
  <si>
    <t>jekyll@jekyll.xlsx</t>
  </si>
  <si>
    <t>jenkinsci@blueocean-plugin.xlsx</t>
  </si>
  <si>
    <t>jeremylong@DependencyCheck.xlsx</t>
  </si>
  <si>
    <t>jeremyw@stamp.xlsx</t>
  </si>
  <si>
    <t>jerryscript-project@jerryscript.xlsx</t>
  </si>
  <si>
    <t>jest-community@vscode-jest.xlsx</t>
  </si>
  <si>
    <t>jfelchner@ruby-progressbar.xlsx</t>
  </si>
  <si>
    <t>jhipster@generator-jhipster.xlsx</t>
  </si>
  <si>
    <t>jiaaro@pydub.xlsx</t>
  </si>
  <si>
    <t>jiahaog@nativefier.xlsx</t>
  </si>
  <si>
    <t>jindongwang@transferlearning.xlsx</t>
  </si>
  <si>
    <t>jitsi@jitsi-meet.xlsx</t>
  </si>
  <si>
    <t>jitsi@jitsi.xlsx</t>
  </si>
  <si>
    <t>jlfwong@speedscope.xlsx</t>
  </si>
  <si>
    <t>jnunemaker@httparty.xlsx</t>
  </si>
  <si>
    <t>joelgriffith@navalia.xlsx</t>
  </si>
  <si>
    <t>joelittlejohn@jsonschema2pojo.xlsx</t>
  </si>
  <si>
    <t>johannesjo@super-productivity.xlsx</t>
  </si>
  <si>
    <t>johnbillion@query-monitor.xlsx</t>
  </si>
  <si>
    <t>johnpapa@angular-ngrx-data.xlsx</t>
  </si>
  <si>
    <t>jolicode@JoliNotif.xlsx</t>
  </si>
  <si>
    <t>jondot@awesome-react-native.xlsx</t>
  </si>
  <si>
    <t>jonls@redshift.xlsx</t>
  </si>
  <si>
    <t>joomla@joomla-cms.xlsx</t>
  </si>
  <si>
    <t>joshfarrant@shortcuts-js.xlsx</t>
  </si>
  <si>
    <t>jovotech@jovo-framework.xlsx</t>
  </si>
  <si>
    <t>joyent@triton.xlsx</t>
  </si>
  <si>
    <t>joypixels@emojione.xlsx</t>
  </si>
  <si>
    <t>jpfuentes2@php-activerecord.xlsx</t>
  </si>
  <si>
    <t>jquery-form@form.xlsx</t>
  </si>
  <si>
    <t>jquery-validation@jquery-validation.xlsx</t>
  </si>
  <si>
    <t>jquery@esprima.xlsx</t>
  </si>
  <si>
    <t>jquery@jquery.xlsx</t>
  </si>
  <si>
    <t>jquery@sizzle.xlsx</t>
  </si>
  <si>
    <t>jrnl-org@jrnl.xlsx</t>
  </si>
  <si>
    <t>js-cookie@js-cookie.xlsx</t>
  </si>
  <si>
    <t>jsfiddle@togetherjs.xlsx</t>
  </si>
  <si>
    <t>jshint@jshint.xlsx</t>
  </si>
  <si>
    <t>jshjohnson@Choices.xlsx</t>
  </si>
  <si>
    <t>julianshapiro@velocity.xlsx</t>
  </si>
  <si>
    <t>junit-team@junit4.xlsx</t>
  </si>
  <si>
    <t>jupyter-widgets@ipywidgets.xlsx</t>
  </si>
  <si>
    <t>jupyter-xeus@xeus-cling.xlsx</t>
  </si>
  <si>
    <t>jupyter@docker-stacks.xlsx</t>
  </si>
  <si>
    <t>jupyterhub@jupyterhub.xlsx</t>
  </si>
  <si>
    <t>justadudewhohacks@opencv4nodejs.xlsx</t>
  </si>
  <si>
    <t>justinmayer@virtualfish.xlsx</t>
  </si>
  <si>
    <t>jvoisin@php-malware-finder.xlsx</t>
  </si>
  <si>
    <t>jwagner@smartcrop.js.xlsx</t>
  </si>
  <si>
    <t>jxnblk@mdx-deck.xlsx</t>
  </si>
  <si>
    <t>k0shk0sh@FastHub.xlsx</t>
  </si>
  <si>
    <t>k4m4@movies-for-hackers.xlsx</t>
  </si>
  <si>
    <t>k4m4@terminals-are-sexy.xlsx</t>
  </si>
  <si>
    <t>k9mail@k-9.xlsx</t>
  </si>
  <si>
    <t>kactus-io@kactus.xlsx</t>
  </si>
  <si>
    <t>kamailio@kamailio.xlsx</t>
  </si>
  <si>
    <t>kamilkisiela@apollo-angular.xlsx</t>
  </si>
  <si>
    <t>kaminari@kaminari.xlsx</t>
  </si>
  <si>
    <t>karafka@karafka.xlsx</t>
  </si>
  <si>
    <t>karlstav@cava.xlsx</t>
  </si>
  <si>
    <t>kartik-v@bootstrap-fileinput.xlsx</t>
  </si>
  <si>
    <t>kbrsh@moon.xlsx</t>
  </si>
  <si>
    <t>keeweb@keeweb.xlsx</t>
  </si>
  <si>
    <t>kentcdodds@cross-env.xlsx</t>
  </si>
  <si>
    <t>kenwheeler@slick.xlsx</t>
  </si>
  <si>
    <t>keon@algorithms.xlsx</t>
  </si>
  <si>
    <t>keras-rl@keras-rl.xlsx</t>
  </si>
  <si>
    <t>keras-team@autokeras.xlsx</t>
  </si>
  <si>
    <t>keras-team@keras.xlsx</t>
  </si>
  <si>
    <t>keyboardsurfer@idea-live-templates.xlsx</t>
  </si>
  <si>
    <t>keycloak@keycloak-containers.xlsx</t>
  </si>
  <si>
    <t>keycloak@keycloak.xlsx</t>
  </si>
  <si>
    <t>kilimchoi@engineering-blogs.xlsx</t>
  </si>
  <si>
    <t>kimmobrunfeldt@progressbar.js.xlsx</t>
  </si>
  <si>
    <t>kint-php@kint.xlsx</t>
  </si>
  <si>
    <t>kitetail@zttp.xlsx</t>
  </si>
  <si>
    <t>kivy@kivy.xlsx</t>
  </si>
  <si>
    <t>klein@klein.php.xlsx</t>
  </si>
  <si>
    <t>knex@knex.xlsx</t>
  </si>
  <si>
    <t>kohana@kohana.xlsx</t>
  </si>
  <si>
    <t>kornelski@pngquant.xlsx</t>
  </si>
  <si>
    <t>kosua20@herebedragons.xlsx</t>
  </si>
  <si>
    <t>kovidgoyal@kitty.xlsx</t>
  </si>
  <si>
    <t>kpumuk@meta-tags.xlsx</t>
  </si>
  <si>
    <t>kraken-php@framework.xlsx</t>
  </si>
  <si>
    <t>krakenjs@kraken-js.xlsx</t>
  </si>
  <si>
    <t>kriasoft@nodejs-api-starter.xlsx</t>
  </si>
  <si>
    <t>kriasoft@react-starter-kit.xlsx</t>
  </si>
  <si>
    <t>kriasoft@universal-router.xlsx</t>
  </si>
  <si>
    <t>krisk@Fuse.xlsx</t>
  </si>
  <si>
    <t>krisleech@wisper.xlsx</t>
  </si>
  <si>
    <t>ksoichiro@Android-ObservableScrollView.xlsx</t>
  </si>
  <si>
    <t>kubeapps@kubeapps.xlsx</t>
  </si>
  <si>
    <t>kubernetes-client@python.xlsx</t>
  </si>
  <si>
    <t>kubernetes-retired@kubeadm-dind-cluster.xlsx</t>
  </si>
  <si>
    <t>kubernetes-sigs@kubespray.xlsx</t>
  </si>
  <si>
    <t>kulshekhar@ts-jest.xlsx</t>
  </si>
  <si>
    <t>kusti8@proton-native.xlsx</t>
  </si>
  <si>
    <t>kwsch@PKHeX.xlsx</t>
  </si>
  <si>
    <t>kylemanna@docker-openvpn.xlsx</t>
  </si>
  <si>
    <t>kyleneideck@BackgroundMusic.xlsx</t>
  </si>
  <si>
    <t>l-lin@angular-datatables.xlsx</t>
  </si>
  <si>
    <t>laravel-zero@laravel-zero.xlsx</t>
  </si>
  <si>
    <t>laravel@cashier-stripe.xlsx</t>
  </si>
  <si>
    <t>laravelio@laravel.io.xlsx</t>
  </si>
  <si>
    <t>laserlemon@figaro.xlsx</t>
  </si>
  <si>
    <t>laurent22@joplin.xlsx</t>
  </si>
  <si>
    <t>lcobucci@jwt.xlsx</t>
  </si>
  <si>
    <t>le5le-com@topology.xlsx</t>
  </si>
  <si>
    <t>leandrowd@react-responsive-carousel.xlsx</t>
  </si>
  <si>
    <t>leanprover@lean.xlsx</t>
  </si>
  <si>
    <t>learnapollo@learnapollo.xlsx</t>
  </si>
  <si>
    <t>learnrelay@learnrelay.xlsx</t>
  </si>
  <si>
    <t>ledger@ledger.xlsx</t>
  </si>
  <si>
    <t>leela-zero@leela-zero.xlsx</t>
  </si>
  <si>
    <t>leereilly@swot.xlsx</t>
  </si>
  <si>
    <t>leonardomso@33-js-concepts.xlsx</t>
  </si>
  <si>
    <t>lerna@lerna.xlsx</t>
  </si>
  <si>
    <t>less@less.js.xlsx</t>
  </si>
  <si>
    <t>lettuce-io@lettuce-core.xlsx</t>
  </si>
  <si>
    <t>lexik@LexikJWTAuthenticationBundle.xlsx</t>
  </si>
  <si>
    <t>liabru@matter-js.xlsx</t>
  </si>
  <si>
    <t>liaralabs@swizzin.xlsx</t>
  </si>
  <si>
    <t>libarchive@libarchive.xlsx</t>
  </si>
  <si>
    <t>libevent@libevent.xlsx</t>
  </si>
  <si>
    <t>libgit2@libgit2.xlsx</t>
  </si>
  <si>
    <t>libgit2@libgit2sharp.xlsx</t>
  </si>
  <si>
    <t>libjpeg-turbo@libjpeg-turbo.xlsx</t>
  </si>
  <si>
    <t>libuv@libuv.xlsx</t>
  </si>
  <si>
    <t>lidangzzz@hedgehog-lab.xlsx</t>
  </si>
  <si>
    <t>lidarr@Lidarr.xlsx</t>
  </si>
  <si>
    <t>lifting-bits@mcsema.xlsx</t>
  </si>
  <si>
    <t>liftoffcli@liftoff.xlsx</t>
  </si>
  <si>
    <t>lightbend@config.xlsx</t>
  </si>
  <si>
    <t>liip@LiipImagineBundle.xlsx</t>
  </si>
  <si>
    <t>likedan@Awesome-CoreML-Models.xlsx</t>
  </si>
  <si>
    <t>lingochamp@okdownload.xlsx</t>
  </si>
  <si>
    <t>lingui@js-lingui.xlsx</t>
  </si>
  <si>
    <t>linkedin@css-blocks.xlsx</t>
  </si>
  <si>
    <t>linq2db@linq2db.xlsx</t>
  </si>
  <si>
    <t>liriliri@eruda.xlsx</t>
  </si>
  <si>
    <t>litaio@lita.xlsx</t>
  </si>
  <si>
    <t>lk-geimfari@awesomo.xlsx</t>
  </si>
  <si>
    <t>llSourcell@learn_math_fast.xlsx</t>
  </si>
  <si>
    <t>lmcinnes@umap.xlsx</t>
  </si>
  <si>
    <t>lnbook@lnbook.xlsx</t>
  </si>
  <si>
    <t>lobsters@lobsters.xlsx</t>
  </si>
  <si>
    <t>lodash@lodash.xlsx</t>
  </si>
  <si>
    <t>logstash-plugins@logstash-patterns-core.xlsx</t>
  </si>
  <si>
    <t>lolcommits@lolcommits.xlsx</t>
  </si>
  <si>
    <t>longhorn@longhorn.xlsx</t>
  </si>
  <si>
    <t>loomio@loomio.xlsx</t>
  </si>
  <si>
    <t>lostisland@faraday.xlsx</t>
  </si>
  <si>
    <t>louthy@language-ext.xlsx</t>
  </si>
  <si>
    <t>lovell@sharp.xlsx</t>
  </si>
  <si>
    <t>lra@mackup.xlsx</t>
  </si>
  <si>
    <t>lsegal@yard.xlsx</t>
  </si>
  <si>
    <t>luberda-molinet@FFImageLoading.xlsx</t>
  </si>
  <si>
    <t>lucadegasperi@oauth2-server-laravel.xlsx</t>
  </si>
  <si>
    <t>lukasoppermann@html5sortable.xlsx</t>
  </si>
  <si>
    <t>lukeautry@tsoa.xlsx</t>
  </si>
  <si>
    <t>lxqt@lxqt.xlsx</t>
  </si>
  <si>
    <t>lynndylanhurley@devise_token_auth.xlsx</t>
  </si>
  <si>
    <t>m9rco@algorithm-php.xlsx</t>
  </si>
  <si>
    <t>machine@machine.specifications.xlsx</t>
  </si>
  <si>
    <t>madskristensen@WebEssentials2013.xlsx</t>
  </si>
  <si>
    <t>magnumripper@JohnTheRipper.xlsx</t>
  </si>
  <si>
    <t>maicki@why-did-you-update.xlsx</t>
  </si>
  <si>
    <t>mail-in-a-box@mailinabox.xlsx</t>
  </si>
  <si>
    <t>mailcow@mailcow-dockerized.xlsx</t>
  </si>
  <si>
    <t>mailpile@Mailpile.xlsx</t>
  </si>
  <si>
    <t>makeusabrew@bootbox.xlsx</t>
  </si>
  <si>
    <t>mapbox@mapbox-gl-native.xlsx</t>
  </si>
  <si>
    <t>mapnik@mapnik.xlsx</t>
  </si>
  <si>
    <t>mapsme@omim.xlsx</t>
  </si>
  <si>
    <t>mapstruct@mapstruct.xlsx</t>
  </si>
  <si>
    <t>marblejs@marble.xlsx</t>
  </si>
  <si>
    <t>marcobambini@gravity.xlsx</t>
  </si>
  <si>
    <t>mariadb-corporation@MaxScale.xlsx</t>
  </si>
  <si>
    <t>markdown-it@markdown-it.xlsx</t>
  </si>
  <si>
    <t>markdownlint@markdownlint.xlsx</t>
  </si>
  <si>
    <t>markedjs@marked.xlsx</t>
  </si>
  <si>
    <t>marko-js@marko.xlsx</t>
  </si>
  <si>
    <t>markrogoyski@math-php.xlsx</t>
  </si>
  <si>
    <t>marktext@marktext.xlsx</t>
  </si>
  <si>
    <t>marmelab@gremlins.js.xlsx</t>
  </si>
  <si>
    <t>marmelab@react-admin.xlsx</t>
  </si>
  <si>
    <t>matchai@spacefish.xlsx</t>
  </si>
  <si>
    <t>material-components@material-components-android.xlsx</t>
  </si>
  <si>
    <t>material-components@material-components-web-react.xlsx</t>
  </si>
  <si>
    <t>material-components@material-components-web.xlsx</t>
  </si>
  <si>
    <t>material-theme@vsc-material-theme.xlsx</t>
  </si>
  <si>
    <t>mathnet@mathnet-numerics.xlsx</t>
  </si>
  <si>
    <t>matomo-org@matomo.xlsx</t>
  </si>
  <si>
    <t>matrix-org@synapse.xlsx</t>
  </si>
  <si>
    <t>mattallty@Caporal.js.xlsx</t>
  </si>
  <si>
    <t>mattboldt@typed.js.xlsx</t>
  </si>
  <si>
    <t>matthiasmullie@minify.xlsx</t>
  </si>
  <si>
    <t>mautic@mautic.xlsx</t>
  </si>
  <si>
    <t>mavlink@qgroundcontrol.xlsx</t>
  </si>
  <si>
    <t>maximebf@php-debugbar.xlsx</t>
  </si>
  <si>
    <t>maxogden@menubar.xlsx</t>
  </si>
  <si>
    <t>maxwellito@vivus.xlsx</t>
  </si>
  <si>
    <t>mbasso@asm-dom.xlsx</t>
  </si>
  <si>
    <t>mbleigh@acts-as-taggable-on.xlsx</t>
  </si>
  <si>
    <t>mdbootstrap@Angular-Bootstrap-with-Material-Design.xlsx</t>
  </si>
  <si>
    <t>meanjs@mean.xlsx</t>
  </si>
  <si>
    <t>meetalva@alva.xlsx</t>
  </si>
  <si>
    <t>merbanan@rtl_433.xlsx</t>
  </si>
  <si>
    <t>merit-gem@merit.xlsx</t>
  </si>
  <si>
    <t>mermaid-js@mermaid.xlsx</t>
  </si>
  <si>
    <t>messageformat@messageformat.xlsx</t>
  </si>
  <si>
    <t>meteor@meteor.xlsx</t>
  </si>
  <si>
    <t>mevdschee@php-crud-api.xlsx</t>
  </si>
  <si>
    <t>mfontanini@libtins.xlsx</t>
  </si>
  <si>
    <t>mgba-emu@mgba.xlsx</t>
  </si>
  <si>
    <t>mgcrea@angular-strap.xlsx</t>
  </si>
  <si>
    <t>mgechev@angular-seed.xlsx</t>
  </si>
  <si>
    <t>mgechev@codelyzer.xlsx</t>
  </si>
  <si>
    <t>michalsnik@aos.xlsx</t>
  </si>
  <si>
    <t>micronaut-projects@micronaut-core.xlsx</t>
  </si>
  <si>
    <t>microservices-demo@microservices-demo.xlsx</t>
  </si>
  <si>
    <t>microsoft@ApplicationInspector.xlsx</t>
  </si>
  <si>
    <t>microsoft@AttackSurfaceAnalyzer.xlsx</t>
  </si>
  <si>
    <t>microsoft@BosqueLanguage.xlsx</t>
  </si>
  <si>
    <t>microsoft@BotBuilder-Samples.xlsx</t>
  </si>
  <si>
    <t>microsoft@BotFramework-Emulator.xlsx</t>
  </si>
  <si>
    <t>microsoft@ChakraCore.xlsx</t>
  </si>
  <si>
    <t>microsoft@CodeContracts.xlsx</t>
  </si>
  <si>
    <t>microsoft@DeepSpeed.xlsx</t>
  </si>
  <si>
    <t>microsoft@DirectXShaderCompiler.xlsx</t>
  </si>
  <si>
    <t>microsoft@FASTER.xlsx</t>
  </si>
  <si>
    <t>microsoft@GSL.xlsx</t>
  </si>
  <si>
    <t>microsoft@LightGBM.xlsx</t>
  </si>
  <si>
    <t>microsoft@PTVS.xlsx</t>
  </si>
  <si>
    <t>microsoft@ProcDump-for-Linux.xlsx</t>
  </si>
  <si>
    <t>microsoft@ProcMon-for-Linux.xlsx</t>
  </si>
  <si>
    <t>microsoft@Pyjion.xlsx</t>
  </si>
  <si>
    <t>microsoft@SEAL.xlsx</t>
  </si>
  <si>
    <t>microsoft@TouchDevelop.xlsx</t>
  </si>
  <si>
    <t>microsoft@TypeScript.xlsx</t>
  </si>
  <si>
    <t>microsoft@TypeScriptSamples.xlsx</t>
  </si>
  <si>
    <t>microsoft@VFSForGit.xlsx</t>
  </si>
  <si>
    <t>microsoft@VS-PPT.xlsx</t>
  </si>
  <si>
    <t>microsoft@VisualStudioUninstaller.xlsx</t>
  </si>
  <si>
    <t>microsoft@VoTT.xlsx</t>
  </si>
  <si>
    <t>microsoft@WebTemplateStudio.xlsx</t>
  </si>
  <si>
    <t>microsoft@Win2D.xlsx</t>
  </si>
  <si>
    <t>microsoft@WindowsCompositionSamples.xlsx</t>
  </si>
  <si>
    <t>microsoft@WindowsTemplateStudio.xlsx</t>
  </si>
  <si>
    <t>microsoft@Xaml-Controls-Gallery.xlsx</t>
  </si>
  <si>
    <t>microsoft@aspnet-api-versioning.xlsx</t>
  </si>
  <si>
    <t>microsoft@azuredatastudio.xlsx</t>
  </si>
  <si>
    <t>microsoft@bond.xlsx</t>
  </si>
  <si>
    <t>microsoft@botframework-sdk.xlsx</t>
  </si>
  <si>
    <t>microsoft@botframework-solutions.xlsx</t>
  </si>
  <si>
    <t>microsoft@calculator.xlsx</t>
  </si>
  <si>
    <t>microsoft@checkedc.xlsx</t>
  </si>
  <si>
    <t>microsoft@dotnet-apiport.xlsx</t>
  </si>
  <si>
    <t>microsoft@fast.xlsx</t>
  </si>
  <si>
    <t>microsoft@just.xlsx</t>
  </si>
  <si>
    <t>microsoft@maker.js.xlsx</t>
  </si>
  <si>
    <t>microsoft@microsoft-ui-xaml.xlsx</t>
  </si>
  <si>
    <t>microsoft@monaco-editor.xlsx</t>
  </si>
  <si>
    <t>microsoft@msquic.xlsx</t>
  </si>
  <si>
    <t>microsoft@nlp-recipes.xlsx</t>
  </si>
  <si>
    <t>microsoft@nodejstools.xlsx</t>
  </si>
  <si>
    <t>microsoft@onnxjs.xlsx</t>
  </si>
  <si>
    <t>microsoft@onnxruntime.xlsx</t>
  </si>
  <si>
    <t>microsoft@perfview.xlsx</t>
  </si>
  <si>
    <t>microsoft@playwright.xlsx</t>
  </si>
  <si>
    <t>microsoft@pxt.xlsx</t>
  </si>
  <si>
    <t>microsoft@pyright.xlsx</t>
  </si>
  <si>
    <t>microsoft@python-language-server.xlsx</t>
  </si>
  <si>
    <t>microsoft@react-native-windows.xlsx</t>
  </si>
  <si>
    <t>microsoft@reactxp.xlsx</t>
  </si>
  <si>
    <t>microsoft@recommenders.xlsx</t>
  </si>
  <si>
    <t>microsoft@reverse-proxy.xlsx</t>
  </si>
  <si>
    <t>microsoft@service-fabric.xlsx</t>
  </si>
  <si>
    <t>microsoft@tsdoc.xlsx</t>
  </si>
  <si>
    <t>microsoft@verona.xlsx</t>
  </si>
  <si>
    <t>microsoft@vscode-chrome-debug.xlsx</t>
  </si>
  <si>
    <t>microsoft@vscode-cpptools.xlsx</t>
  </si>
  <si>
    <t>microsoft@vscode-react-native.xlsx</t>
  </si>
  <si>
    <t>microsoft@vscode.xlsx</t>
  </si>
  <si>
    <t>microsoftarchive@cqrs-journey.xlsx</t>
  </si>
  <si>
    <t>middleman@middleman.xlsx</t>
  </si>
  <si>
    <t>midgetspy@Sick-Beard.xlsx</t>
  </si>
  <si>
    <t>midori-rb@midori.rb.xlsx</t>
  </si>
  <si>
    <t>migueldeicaza@TensorFlowSharp.xlsx</t>
  </si>
  <si>
    <t>migueldeicaza@gui.cs.xlsx</t>
  </si>
  <si>
    <t>mike-ward@Markdown-Edit.xlsx</t>
  </si>
  <si>
    <t>mike42@escpos-php.xlsx</t>
  </si>
  <si>
    <t>mikeerickson@phpunit-pretty-result-printer.xlsx</t>
  </si>
  <si>
    <t>mikel@mail.xlsx</t>
  </si>
  <si>
    <t>mikro-orm@mikro-orm.xlsx</t>
  </si>
  <si>
    <t>milvus-io@milvus.xlsx</t>
  </si>
  <si>
    <t>mindsdb@mindsdb.xlsx</t>
  </si>
  <si>
    <t>mindspore-ai@mindspore.xlsx</t>
  </si>
  <si>
    <t>minetest@minetest.xlsx</t>
  </si>
  <si>
    <t>mingrammer@diagrams.xlsx</t>
  </si>
  <si>
    <t>minkphp@Mink.xlsx</t>
  </si>
  <si>
    <t>minoca@os.xlsx</t>
  </si>
  <si>
    <t>miripiruni@frontdesk.xlsx</t>
  </si>
  <si>
    <t>mjaschen@phpgeo.xlsx</t>
  </si>
  <si>
    <t>ml5js@ml5-library.xlsx</t>
  </si>
  <si>
    <t>mlaursen@react-md.xlsx</t>
  </si>
  <si>
    <t>mledoze@countries.xlsx</t>
  </si>
  <si>
    <t>mlpack@mlpack.xlsx</t>
  </si>
  <si>
    <t>mob-sakai@ParticleEffectForUGUI.xlsx</t>
  </si>
  <si>
    <t>mobxjs@mobx-react-lite.xlsx</t>
  </si>
  <si>
    <t>mobxjs@mobx-react.xlsx</t>
  </si>
  <si>
    <t>mobxjs@mobx.xlsx</t>
  </si>
  <si>
    <t>moby@hyperkit.xlsx</t>
  </si>
  <si>
    <t>mochajs@mocha.xlsx</t>
  </si>
  <si>
    <t>mockery@mockery.xlsx</t>
  </si>
  <si>
    <t>mockoon@mockoon.xlsx</t>
  </si>
  <si>
    <t>modxcms@revolution.xlsx</t>
  </si>
  <si>
    <t>mojs@mojs.xlsx</t>
  </si>
  <si>
    <t>moment@luxon.xlsx</t>
  </si>
  <si>
    <t>moment@moment.xlsx</t>
  </si>
  <si>
    <t>monfresh@laptop.xlsx</t>
  </si>
  <si>
    <t>mongodb@mongo-csharp-driver.xlsx</t>
  </si>
  <si>
    <t>mongodb@mongo-java-driver.xlsx</t>
  </si>
  <si>
    <t>mongodb@mongo-php-driver-legacy.xlsx</t>
  </si>
  <si>
    <t>mongodb@mongo-php-library.xlsx</t>
  </si>
  <si>
    <t>mongodb@mongo-ruby-driver.xlsx</t>
  </si>
  <si>
    <t>mongodb@node-mongodb-native.xlsx</t>
  </si>
  <si>
    <t>monicahq@monica.xlsx</t>
  </si>
  <si>
    <t>mono@CppSharp.xlsx</t>
  </si>
  <si>
    <t>mono@Embeddinator-4000.xlsx</t>
  </si>
  <si>
    <t>mono@mono.xlsx</t>
  </si>
  <si>
    <t>moove-it@sidekiq-scheduler.xlsx</t>
  </si>
  <si>
    <t>moq@moq4.xlsx</t>
  </si>
  <si>
    <t>mosra@magnum.xlsx</t>
  </si>
  <si>
    <t>motdotla@dotenv.xlsx</t>
  </si>
  <si>
    <t>mozilla@nunjucks.xlsx</t>
  </si>
  <si>
    <t>mozilla@pdf.js.xlsx</t>
  </si>
  <si>
    <t>mozilla@rr.xlsx</t>
  </si>
  <si>
    <t>mpc-hc@mpc-hc.xlsx</t>
  </si>
  <si>
    <t>mpdf@mpdf.xlsx</t>
  </si>
  <si>
    <t>mperham@sidekiq.xlsx</t>
  </si>
  <si>
    <t>mpociot@laravel-apidoc-generator.xlsx</t>
  </si>
  <si>
    <t>mps-youtube@mps-youtube.xlsx</t>
  </si>
  <si>
    <t>mrdoob@three.js.xlsx</t>
  </si>
  <si>
    <t>mrmlnc@fast-glob.xlsx</t>
  </si>
  <si>
    <t>mruby@mruby.xlsx</t>
  </si>
  <si>
    <t>msracver@Deep-Image-Analogy.xlsx</t>
  </si>
  <si>
    <t>mswjs@msw.xlsx</t>
  </si>
  <si>
    <t>multiarch@qemu-user-static.xlsx</t>
  </si>
  <si>
    <t>mustache@mustache.xlsx</t>
  </si>
  <si>
    <t>mwaskom@seaborn.xlsx</t>
  </si>
  <si>
    <t>mybatis@generator.xlsx</t>
  </si>
  <si>
    <t>mysql-net@MySqlConnector.xlsx</t>
  </si>
  <si>
    <t>n8n-io@n8n.xlsx</t>
  </si>
  <si>
    <t>namhyung@uftrace.xlsx</t>
  </si>
  <si>
    <t>nanoc@nanoc.xlsx</t>
  </si>
  <si>
    <t>nanopb@nanopb.xlsx</t>
  </si>
  <si>
    <t>narative@gatsby-theme-novela.xlsx</t>
  </si>
  <si>
    <t>natemcmaster@CommandLineUtils.xlsx</t>
  </si>
  <si>
    <t>natemcmaster@DotNetCorePlugins.xlsx</t>
  </si>
  <si>
    <t>natemcmaster@LettuceEncrypt.xlsx</t>
  </si>
  <si>
    <t>nathanl@authority.xlsx</t>
  </si>
  <si>
    <t>naver@billboard.js.xlsx</t>
  </si>
  <si>
    <t>naver@pinpoint.xlsx</t>
  </si>
  <si>
    <t>necolas@react-native-web.xlsx</t>
  </si>
  <si>
    <t>nelmio@NelmioApiDocBundle.xlsx</t>
  </si>
  <si>
    <t>neo-project@neo.xlsx</t>
  </si>
  <si>
    <t>neo4j@neo4j.xlsx</t>
  </si>
  <si>
    <t>neo4jrb@activegraph.xlsx</t>
  </si>
  <si>
    <t>neoclide@coc.nvim.xlsx</t>
  </si>
  <si>
    <t>neomutt@neomutt.xlsx</t>
  </si>
  <si>
    <t>nesquena@rabl.xlsx</t>
  </si>
  <si>
    <t>nestjs@nest.xlsx</t>
  </si>
  <si>
    <t>netblue30@firejail.xlsx</t>
  </si>
  <si>
    <t>netbootxyz@netboot.xyz.xlsx</t>
  </si>
  <si>
    <t>netbox-community@netbox.xlsx</t>
  </si>
  <si>
    <t>netdata@netdata.xlsx</t>
  </si>
  <si>
    <t>netlify@netlify-cms.xlsx</t>
  </si>
  <si>
    <t>nette@php-generator.xlsx</t>
  </si>
  <si>
    <t>nette@tracy.xlsx</t>
  </si>
  <si>
    <t>nette@utils.xlsx</t>
  </si>
  <si>
    <t>neuecc@MessagePack-CSharp.xlsx</t>
  </si>
  <si>
    <t>neutralinojs@neutralinojs.xlsx</t>
  </si>
  <si>
    <t>newcontext-oss@kitchen-terraform.xlsx</t>
  </si>
  <si>
    <t>newrelic@newrelic-ruby-agent.xlsx</t>
  </si>
  <si>
    <t>nextcloud@nextcloud-snap.xlsx</t>
  </si>
  <si>
    <t>nextcloud@server.xlsx</t>
  </si>
  <si>
    <t>nfl@react-helmet.xlsx</t>
  </si>
  <si>
    <t>ng-alain@ng-alain.xlsx</t>
  </si>
  <si>
    <t>ng-bootstrap@ng-bootstrap.xlsx</t>
  </si>
  <si>
    <t>ng-packagr@ng-packagr.xlsx</t>
  </si>
  <si>
    <t>ng-select@ng-select.xlsx</t>
  </si>
  <si>
    <t>ngbp@ngbp.xlsx</t>
  </si>
  <si>
    <t>ngneat@spectator.xlsx</t>
  </si>
  <si>
    <t>ngneat@transloco.xlsx</t>
  </si>
  <si>
    <t>ngrx@platform.xlsx</t>
  </si>
  <si>
    <t>ngrx@store.xlsx</t>
  </si>
  <si>
    <t>ngx-formly@ngx-formly.xlsx</t>
  </si>
  <si>
    <t>ngx-rocket@generator-ngx-rocket.xlsx</t>
  </si>
  <si>
    <t>ngxs@store.xlsx</t>
  </si>
  <si>
    <t>nhaarman@ListViewAnimations.xlsx</t>
  </si>
  <si>
    <t>nhibernate@nhibernate-core.xlsx</t>
  </si>
  <si>
    <t>nhn@tui.calendar.xlsx</t>
  </si>
  <si>
    <t>nhn@tui.editor.xlsx</t>
  </si>
  <si>
    <t>nhn@tui.grid.xlsx</t>
  </si>
  <si>
    <t>nickgravelyn@UnityToolbag.xlsx</t>
  </si>
  <si>
    <t>nicoespeon@gitgraph.js.xlsx</t>
  </si>
  <si>
    <t>nicolargo@glances.xlsx</t>
  </si>
  <si>
    <t>nightwatchjs@nightwatch.xlsx</t>
  </si>
  <si>
    <t>nikersify@pico.xlsx</t>
  </si>
  <si>
    <t>nlohmann@json.xlsx</t>
  </si>
  <si>
    <t>nmap@nmap.xlsx</t>
  </si>
  <si>
    <t>nmathewson@libevent_obsolete.xlsx</t>
  </si>
  <si>
    <t>nock@nock.xlsx</t>
  </si>
  <si>
    <t>nodatime@nodatime.xlsx</t>
  </si>
  <si>
    <t>node-gh@gh.xlsx</t>
  </si>
  <si>
    <t>node-inspector@node-inspector.xlsx</t>
  </si>
  <si>
    <t>node-opcua@node-opcua.xlsx</t>
  </si>
  <si>
    <t>node-red@node-red.xlsx</t>
  </si>
  <si>
    <t>nodejs@node-gyp.xlsx</t>
  </si>
  <si>
    <t>nodejs@node.xlsx</t>
  </si>
  <si>
    <t>nodemailer@nodemailer.xlsx</t>
  </si>
  <si>
    <t>nodemcu@nodemcu-firmware.xlsx</t>
  </si>
  <si>
    <t>nodenv@nodenv.xlsx</t>
  </si>
  <si>
    <t>nojhan@liquidprompt.xlsx</t>
  </si>
  <si>
    <t>nolimits4web@swiper.xlsx</t>
  </si>
  <si>
    <t>nopSolutions@nopCommerce.xlsx</t>
  </si>
  <si>
    <t>notable@notable.xlsx</t>
  </si>
  <si>
    <t>notepad-plus-plus@notepad-plus-plus.xlsx</t>
  </si>
  <si>
    <t>nothings@stb.xlsx</t>
  </si>
  <si>
    <t>nrk@predis.xlsx</t>
  </si>
  <si>
    <t>nrwl@nx.xlsx</t>
  </si>
  <si>
    <t>nteract@nteract.xlsx</t>
  </si>
  <si>
    <t>ntop@nDPI.xlsx</t>
  </si>
  <si>
    <t>numba@numba.xlsx</t>
  </si>
  <si>
    <t>numenta@nupic.xlsx</t>
  </si>
  <si>
    <t>numpy@numpy.xlsx</t>
  </si>
  <si>
    <t>nunomaduro@collision.xlsx</t>
  </si>
  <si>
    <t>nunomaduro@larastan.xlsx</t>
  </si>
  <si>
    <t>nunomaduro@phpinsights.xlsx</t>
  </si>
  <si>
    <t>nuwave@lighthouse.xlsx</t>
  </si>
  <si>
    <t>nvbn@thefuck.xlsx</t>
  </si>
  <si>
    <t>nvdv@vprof.xlsx</t>
  </si>
  <si>
    <t>nvm-sh@nvm.xlsx</t>
  </si>
  <si>
    <t>nytimes@Store.xlsx</t>
  </si>
  <si>
    <t>oatpp@oatpp.xlsx</t>
  </si>
  <si>
    <t>oauth-xx@oauth2.xlsx</t>
  </si>
  <si>
    <t>oblac@jodd.xlsx</t>
  </si>
  <si>
    <t>oblador@react-native-vector-icons.xlsx</t>
  </si>
  <si>
    <t>octalmage@robotjs.xlsx</t>
  </si>
  <si>
    <t>octobercms@october.xlsx</t>
  </si>
  <si>
    <t>octobox@octobox.xlsx</t>
  </si>
  <si>
    <t>octokit@octokit.rb.xlsx</t>
  </si>
  <si>
    <t>odoo@odoo.xlsx</t>
  </si>
  <si>
    <t>oh-my-fish@oh-my-fish.xlsx</t>
  </si>
  <si>
    <t>ohld@igbot.xlsx</t>
  </si>
  <si>
    <t>ohmybash@oh-my-bash.xlsx</t>
  </si>
  <si>
    <t>ohmyzsh@ohmyzsh.xlsx</t>
  </si>
  <si>
    <t>okfn-brasil@serenata-de-amor.xlsx</t>
  </si>
  <si>
    <t>olive-editor@olive.xlsx</t>
  </si>
  <si>
    <t>oliver-moran@jimp.xlsx</t>
  </si>
  <si>
    <t>olivernn@lunr.js.xlsx</t>
  </si>
  <si>
    <t>onderceylan@pwa-asset-generator.xlsx</t>
  </si>
  <si>
    <t>oneapi-src@oneDNN.xlsx</t>
  </si>
  <si>
    <t>onivim@oni.xlsx</t>
  </si>
  <si>
    <t>onqtam@doctest.xlsx</t>
  </si>
  <si>
    <t>opal@opal.xlsx</t>
  </si>
  <si>
    <t>open-guides@og-aws.xlsx</t>
  </si>
  <si>
    <t>open-mmlab@mmdetection.xlsx</t>
  </si>
  <si>
    <t>open-mpi@ompi.xlsx</t>
  </si>
  <si>
    <t>open-source-parsers@jsoncpp.xlsx</t>
  </si>
  <si>
    <t>open62541@open62541.xlsx</t>
  </si>
  <si>
    <t>openMVG@openMVG.xlsx</t>
  </si>
  <si>
    <t>openai@gym.xlsx</t>
  </si>
  <si>
    <t>openai@retro.xlsx</t>
  </si>
  <si>
    <t>opencv@cvat.xlsx</t>
  </si>
  <si>
    <t>openemr@openemr.xlsx</t>
  </si>
  <si>
    <t>opengapps@opengapps.xlsx</t>
  </si>
  <si>
    <t>openimages@dataset.xlsx</t>
  </si>
  <si>
    <t>openlayers@openlayers.xlsx</t>
  </si>
  <si>
    <t>openservicebrokerapi@servicebroker.xlsx</t>
  </si>
  <si>
    <t>openshift@origin-server.xlsx</t>
  </si>
  <si>
    <t>openssl@openssl.xlsx</t>
  </si>
  <si>
    <t>openstf@minicap.xlsx</t>
  </si>
  <si>
    <t>openstreetmap@openstreetmap-website.xlsx</t>
  </si>
  <si>
    <t>openthread@openthread.xlsx</t>
  </si>
  <si>
    <t>opentk@opentk.xlsx</t>
  </si>
  <si>
    <t>opentoonz@opentoonz.xlsx</t>
  </si>
  <si>
    <t>opentrack@opentrack.xlsx</t>
  </si>
  <si>
    <t>openvenues@libpostal.xlsx</t>
  </si>
  <si>
    <t>openvinotoolkit@openvino.xlsx</t>
  </si>
  <si>
    <t>openzfs@zfs.xlsx</t>
  </si>
  <si>
    <t>opf@openproject.xlsx</t>
  </si>
  <si>
    <t>opnsense@core.xlsx</t>
  </si>
  <si>
    <t>optuna@optuna.xlsx</t>
  </si>
  <si>
    <t>oracle@docker-images.xlsx</t>
  </si>
  <si>
    <t>oracle@graal.xlsx</t>
  </si>
  <si>
    <t>oracle@opengrok.xlsx</t>
  </si>
  <si>
    <t>oracle@truffleruby.xlsx</t>
  </si>
  <si>
    <t>oracle@vagrant-projects.xlsx</t>
  </si>
  <si>
    <t>orbitalindex@awesome-space.xlsx</t>
  </si>
  <si>
    <t>orchestral@testbench.xlsx</t>
  </si>
  <si>
    <t>orientechnologies@orientdb.xlsx</t>
  </si>
  <si>
    <t>orizens@ngx-infinite-scroll.xlsx</t>
  </si>
  <si>
    <t>osm-search@Nominatim.xlsx</t>
  </si>
  <si>
    <t>osmc@osmc.xlsx</t>
  </si>
  <si>
    <t>osquery@osquery.xlsx</t>
  </si>
  <si>
    <t>oupala@apaxy.xlsx</t>
  </si>
  <si>
    <t>overtrue@wechat.xlsx</t>
  </si>
  <si>
    <t>owncloud@android.xlsx</t>
  </si>
  <si>
    <t>owncloud@client.xlsx</t>
  </si>
  <si>
    <t>owncloud@core.xlsx</t>
  </si>
  <si>
    <t>oznu@homebridge-config-ui-x.xlsx</t>
  </si>
  <si>
    <t>pact-foundation@pact-ruby.xlsx</t>
  </si>
  <si>
    <t>pagekit@pagekit.xlsx</t>
  </si>
  <si>
    <t>palantir@blueprint.xlsx</t>
  </si>
  <si>
    <t>panda3d@panda3d.xlsx</t>
  </si>
  <si>
    <t>pandas-dev@pandas.xlsx</t>
  </si>
  <si>
    <t>paparazzi@paparazzi.xlsx</t>
  </si>
  <si>
    <t>paper-trail-gem@paper_trail.xlsx</t>
  </si>
  <si>
    <t>papers-we-love@papers-we-love.xlsx</t>
  </si>
  <si>
    <t>paragonie@awesome-appsec.xlsx</t>
  </si>
  <si>
    <t>paralax@awesome-honeypots.xlsx</t>
  </si>
  <si>
    <t>parcel-bundler@parcel.xlsx</t>
  </si>
  <si>
    <t>parrot-translate@parrot.xlsx</t>
  </si>
  <si>
    <t>paularmstrong@normalizr.xlsx</t>
  </si>
  <si>
    <t>paulolramos@eslint-prettier-airbnb-react.xlsx</t>
  </si>
  <si>
    <t>pd4d10@octohint.xlsx</t>
  </si>
  <si>
    <t>peachpiecompiler@peachpie.xlsx</t>
  </si>
  <si>
    <t>pedronauck@reworm.xlsx</t>
  </si>
  <si>
    <t>pestphp@pest.xlsx</t>
  </si>
  <si>
    <t>petems@tugboat.xlsx</t>
  </si>
  <si>
    <t>pezy@CppPrimer.xlsx</t>
  </si>
  <si>
    <t>phalcon@cphalcon.xlsx</t>
  </si>
  <si>
    <t>phalcon@zephir.xlsx</t>
  </si>
  <si>
    <t>phan@phan.xlsx</t>
  </si>
  <si>
    <t>philc@vimium.xlsx</t>
  </si>
  <si>
    <t>phodal@awesome-iot.xlsx</t>
  </si>
  <si>
    <t>photonstorm@phaser.xlsx</t>
  </si>
  <si>
    <t>php-amqplib@php-amqplib.xlsx</t>
  </si>
  <si>
    <t>php-ds@ext-ds.xlsx</t>
  </si>
  <si>
    <t>php-telegram-bot@core.xlsx</t>
  </si>
  <si>
    <t>php-webdriver@php-webdriver.xlsx</t>
  </si>
  <si>
    <t>php@php-langspec.xlsx</t>
  </si>
  <si>
    <t>php@php-src.xlsx</t>
  </si>
  <si>
    <t>phpDocumentor@phpDocumentor.xlsx</t>
  </si>
  <si>
    <t>phpbrew@phpbrew.xlsx</t>
  </si>
  <si>
    <t>phpmd@phpmd.xlsx</t>
  </si>
  <si>
    <t>phpmyadmin@phpmyadmin.xlsx</t>
  </si>
  <si>
    <t>phpro@grumphp.xlsx</t>
  </si>
  <si>
    <t>phpspec@phpspec.xlsx</t>
  </si>
  <si>
    <t>phpspec@prophecy.xlsx</t>
  </si>
  <si>
    <t>phptodayorg@php-must-watch.xlsx</t>
  </si>
  <si>
    <t>phusion@baseimage-docker.xlsx</t>
  </si>
  <si>
    <t>phusion@juvia.xlsx</t>
  </si>
  <si>
    <t>phusion@passenger-docker.xlsx</t>
  </si>
  <si>
    <t>phusion@traveling-ruby.xlsx</t>
  </si>
  <si>
    <t>pi-hole@docker-pi-hole.xlsx</t>
  </si>
  <si>
    <t>pi-hole@pi-hole.xlsx</t>
  </si>
  <si>
    <t>picocms@Pico.xlsx</t>
  </si>
  <si>
    <t>pikapkg@snowpack.xlsx</t>
  </si>
  <si>
    <t>pimcore@pimcore.xlsx</t>
  </si>
  <si>
    <t>pingcap@docs-cn.xlsx</t>
  </si>
  <si>
    <t>pinojs@pino.xlsx</t>
  </si>
  <si>
    <t>piotrwitek@react-redux-typescript-guide.xlsx</t>
  </si>
  <si>
    <t>piotrwitek@typesafe-actions.xlsx</t>
  </si>
  <si>
    <t>piotrwitek@utility-types.xlsx</t>
  </si>
  <si>
    <t>pirate@ArchiveBox.xlsx</t>
  </si>
  <si>
    <t>pivotal@LicenseFinder.xlsx</t>
  </si>
  <si>
    <t>pivpn@pivpn.xlsx</t>
  </si>
  <si>
    <t>pixelfed@pixelfed.xlsx</t>
  </si>
  <si>
    <t>pixijs@pixi.js.xlsx</t>
  </si>
  <si>
    <t>platformio@platformio-core.xlsx</t>
  </si>
  <si>
    <t>playgameservices@play-games-plugin-for-unity.xlsx</t>
  </si>
  <si>
    <t>plotly@dash.xlsx</t>
  </si>
  <si>
    <t>plotly@plotly.js.xlsx</t>
  </si>
  <si>
    <t>pmd@pmd.xlsx</t>
  </si>
  <si>
    <t>pnp@PnP-PowerShell.xlsx</t>
  </si>
  <si>
    <t>pnp@sp-dev-fx-webparts.xlsx</t>
  </si>
  <si>
    <t>pnpm@pnpm.xlsx</t>
  </si>
  <si>
    <t>pockethub@PocketHub.xlsx</t>
  </si>
  <si>
    <t>polarphp@polarphp.xlsx</t>
  </si>
  <si>
    <t>polyaxon@polyaxon.xlsx</t>
  </si>
  <si>
    <t>polybar@polybar-scripts.xlsx</t>
  </si>
  <si>
    <t>pomber@code-surfer.xlsx</t>
  </si>
  <si>
    <t>portainer@portainer.xlsx</t>
  </si>
  <si>
    <t>postcss@autoprefixer.xlsx</t>
  </si>
  <si>
    <t>postcss@postcss.xlsx</t>
  </si>
  <si>
    <t>postmarketOS@pmbootstrap.xlsx</t>
  </si>
  <si>
    <t>postmodern@chruby.xlsx</t>
  </si>
  <si>
    <t>pote@gpm.xlsx</t>
  </si>
  <si>
    <t>poteto@hiring-without-whiteboards.xlsx</t>
  </si>
  <si>
    <t>pouchdb@pouchdb.xlsx</t>
  </si>
  <si>
    <t>ppy@osu.xlsx</t>
  </si>
  <si>
    <t>prajjwaldimri@GithubXamarin.xlsx</t>
  </si>
  <si>
    <t>prawnpdf@prawn.xlsx</t>
  </si>
  <si>
    <t>pre-commit@pre-commit.xlsx</t>
  </si>
  <si>
    <t>preactjs@preact.xlsx</t>
  </si>
  <si>
    <t>premake@premake-core.xlsx</t>
  </si>
  <si>
    <t>presidentbeef@brakeman.xlsx</t>
  </si>
  <si>
    <t>prettier@plugin-php.xlsx</t>
  </si>
  <si>
    <t>prettier@prettier.xlsx</t>
  </si>
  <si>
    <t>prettier@tslint-config-prettier.xlsx</t>
  </si>
  <si>
    <t>prevwong@craft.js.xlsx</t>
  </si>
  <si>
    <t>prime31@Nez.xlsx</t>
  </si>
  <si>
    <t>prisma-archive@chromeless.xlsx</t>
  </si>
  <si>
    <t>prisma-labs@graphql-playground.xlsx</t>
  </si>
  <si>
    <t>prisma@prisma-examples.xlsx</t>
  </si>
  <si>
    <t>prisma@prisma.xlsx</t>
  </si>
  <si>
    <t>probot@probot.xlsx</t>
  </si>
  <si>
    <t>processing@p5.js.xlsx</t>
  </si>
  <si>
    <t>processing@processing.xlsx</t>
  </si>
  <si>
    <t>projectNe10@Ne10.xlsx</t>
  </si>
  <si>
    <t>projectstorm@react-diagrams.xlsx</t>
  </si>
  <si>
    <t>protocolbuffers@protobuf.xlsx</t>
  </si>
  <si>
    <t>prusa3d@PrusaSlicer.xlsx</t>
  </si>
  <si>
    <t>psf@requests.xlsx</t>
  </si>
  <si>
    <t>pterodactyl@panel.xlsx</t>
  </si>
  <si>
    <t>ptmt@react-native-macos.xlsx</t>
  </si>
  <si>
    <t>public-apis@public-apis.xlsx</t>
  </si>
  <si>
    <t>publify@publify.xlsx</t>
  </si>
  <si>
    <t>puma@puma.xlsx</t>
  </si>
  <si>
    <t>puniverse@quasar.xlsx</t>
  </si>
  <si>
    <t>punker76@gong-wpf-dragdrop.xlsx</t>
  </si>
  <si>
    <t>puppeteer@puppeteer.xlsx</t>
  </si>
  <si>
    <t>puppetlabs@puppet.xlsx</t>
  </si>
  <si>
    <t>pure-css@pure.xlsx</t>
  </si>
  <si>
    <t>pushtorefresh@storio.xlsx</t>
  </si>
  <si>
    <t>pwittchen@ReactiveNetwork.xlsx</t>
  </si>
  <si>
    <t>pwndbg@pwndbg.xlsx</t>
  </si>
  <si>
    <t>pybind@pybind11.xlsx</t>
  </si>
  <si>
    <t>pymc-devs@pymc3.xlsx</t>
  </si>
  <si>
    <t>pypa@pipenv.xlsx</t>
  </si>
  <si>
    <t>pypa@virtualenv.xlsx</t>
  </si>
  <si>
    <t>pyro-ppl@pyro.xlsx</t>
  </si>
  <si>
    <t>pyrocms@pyrocms.xlsx</t>
  </si>
  <si>
    <t>pyston@pyston.xlsx</t>
  </si>
  <si>
    <t>python-pillow@Pillow.xlsx</t>
  </si>
  <si>
    <t>python-poetry@poetry.xlsx</t>
  </si>
  <si>
    <t>python-visualization@folium.xlsx</t>
  </si>
  <si>
    <t>python@mypy.xlsx</t>
  </si>
  <si>
    <t>pythonnet@pythonnet.xlsx</t>
  </si>
  <si>
    <t>pytorch@QNNPACK.xlsx</t>
  </si>
  <si>
    <t>pytorch@fairseq.xlsx</t>
  </si>
  <si>
    <t>pytorch@glow.xlsx</t>
  </si>
  <si>
    <t>pytorch@ignite.xlsx</t>
  </si>
  <si>
    <t>pytorch@pytorch.xlsx</t>
  </si>
  <si>
    <t>q2a@question2answer.xlsx</t>
  </si>
  <si>
    <t>qTox@qTox.xlsx</t>
  </si>
  <si>
    <t>qbittorrent@qBittorrent.xlsx</t>
  </si>
  <si>
    <t>qgis@QGIS.xlsx</t>
  </si>
  <si>
    <t>qmk@qmk_firmware.xlsx</t>
  </si>
  <si>
    <t>qrohlf@trianglify.xlsx</t>
  </si>
  <si>
    <t>quantumblacklabs@kedro.xlsx</t>
  </si>
  <si>
    <t>quarkusio@quarkus.xlsx</t>
  </si>
  <si>
    <t>quartznet@quartznet.xlsx</t>
  </si>
  <si>
    <t>quasar@Quasar.xlsx</t>
  </si>
  <si>
    <t>quicwg@base-drafts.xlsx</t>
  </si>
  <si>
    <t>quilljs@quill.xlsx</t>
  </si>
  <si>
    <t>rabbitmq@rabbitmq-dotnet-client.xlsx</t>
  </si>
  <si>
    <t>rack@rack-attack.xlsx</t>
  </si>
  <si>
    <t>rack@rack-contrib.xlsx</t>
  </si>
  <si>
    <t>rack@rack.xlsx</t>
  </si>
  <si>
    <t>radareorg@radare2.xlsx</t>
  </si>
  <si>
    <t>raghakot@keras-vis.xlsx</t>
  </si>
  <si>
    <t>rails-api@active_model_serializers.xlsx</t>
  </si>
  <si>
    <t>rails-api@rails-api.xlsx</t>
  </si>
  <si>
    <t>rails@activeresource.xlsx</t>
  </si>
  <si>
    <t>rails@jbuilder.xlsx</t>
  </si>
  <si>
    <t>rails@jquery-rails.xlsx</t>
  </si>
  <si>
    <t>rails@rails.xlsx</t>
  </si>
  <si>
    <t>rails@webpacker.xlsx</t>
  </si>
  <si>
    <t>railsbridge@docs.xlsx</t>
  </si>
  <si>
    <t>railsware@upterm.xlsx</t>
  </si>
  <si>
    <t>ramda@ramda.xlsx</t>
  </si>
  <si>
    <t>ranger@ranger.xlsx</t>
  </si>
  <si>
    <t>rangle@augury.xlsx</t>
  </si>
  <si>
    <t>raphw@byte-buddy.xlsx</t>
  </si>
  <si>
    <t>rapid7@metasploit-framework.xlsx</t>
  </si>
  <si>
    <t>rapidsai@cudf.xlsx</t>
  </si>
  <si>
    <t>rappasoft@laravel-boilerplate.xlsx</t>
  </si>
  <si>
    <t>rasa@vmware-tools-patches.xlsx</t>
  </si>
  <si>
    <t>rasbt@mlxtend.xlsx</t>
  </si>
  <si>
    <t>rastating@wordpress-exploit-framework.xlsx</t>
  </si>
  <si>
    <t>rathena@rathena.xlsx</t>
  </si>
  <si>
    <t>ravendb@ravendb.xlsx</t>
  </si>
  <si>
    <t>rawgraphs@raw.xlsx</t>
  </si>
  <si>
    <t>raysan5@raylib.xlsx</t>
  </si>
  <si>
    <t>reach@reach-ui.xlsx</t>
  </si>
  <si>
    <t>react-boilerplate@react-boilerplate.xlsx</t>
  </si>
  <si>
    <t>react-bootstrap@react-bootstrap.xlsx</t>
  </si>
  <si>
    <t>react-cosmos@react-cosmos.xlsx</t>
  </si>
  <si>
    <t>react-hook-form@react-hook-form.xlsx</t>
  </si>
  <si>
    <t>react-native-community@cli.xlsx</t>
  </si>
  <si>
    <t>react-native-community@lottie-react-native.xlsx</t>
  </si>
  <si>
    <t>react-native-community@react-native-camera.xlsx</t>
  </si>
  <si>
    <t>react-native-community@react-native-device-info.xlsx</t>
  </si>
  <si>
    <t>react-native-community@react-native-image-picker.xlsx</t>
  </si>
  <si>
    <t>react-native-community@react-native-modal.xlsx</t>
  </si>
  <si>
    <t>react-native-community@react-native-svg.xlsx</t>
  </si>
  <si>
    <t>react-native-community@react-native-webview.xlsx</t>
  </si>
  <si>
    <t>react-native-elements@react-native-elements.xlsx</t>
  </si>
  <si>
    <t>react-navigation@react-navigation.xlsx</t>
  </si>
  <si>
    <t>react-page@react-page.xlsx</t>
  </si>
  <si>
    <t>react-static@react-static.xlsx</t>
  </si>
  <si>
    <t>reactive-streams@reactive-streams-jvm.xlsx</t>
  </si>
  <si>
    <t>reactiveui@ReactiveUI.xlsx</t>
  </si>
  <si>
    <t>reactiveui@splat.xlsx</t>
  </si>
  <si>
    <t>reactos@reactos.xlsx</t>
  </si>
  <si>
    <t>reactstrap@reactstrap.xlsx</t>
  </si>
  <si>
    <t>reakit@reakit.xlsx</t>
  </si>
  <si>
    <t>real-logic@aeron.xlsx</t>
  </si>
  <si>
    <t>realm@jazzy.xlsx</t>
  </si>
  <si>
    <t>realm@realm-dotnet.xlsx</t>
  </si>
  <si>
    <t>realm@realm-java.xlsx</t>
  </si>
  <si>
    <t>rebus-org@Rebus.xlsx</t>
  </si>
  <si>
    <t>recastnavigation@recastnavigation.xlsx</t>
  </si>
  <si>
    <t>recharts@recharts.xlsx</t>
  </si>
  <si>
    <t>redisson@redisson.xlsx</t>
  </si>
  <si>
    <t>redmine@redmine.xlsx</t>
  </si>
  <si>
    <t>redux-form@redux-form.xlsx</t>
  </si>
  <si>
    <t>redux-observable@redux-observable.xlsx</t>
  </si>
  <si>
    <t>redux-saga@redux-saga.xlsx</t>
  </si>
  <si>
    <t>reduxframework@redux-framework.xlsx</t>
  </si>
  <si>
    <t>reduxjs@react-redux.xlsx</t>
  </si>
  <si>
    <t>reduxjs@redux-toolkit.xlsx</t>
  </si>
  <si>
    <t>reduxjs@redux.xlsx</t>
  </si>
  <si>
    <t>refile@refile.xlsx</t>
  </si>
  <si>
    <t>refinery@refinerycms.xlsx</t>
  </si>
  <si>
    <t>relativty@Relativ.xlsx</t>
  </si>
  <si>
    <t>rembo10@headphones.xlsx</t>
  </si>
  <si>
    <t>remi@her.xlsx</t>
  </si>
  <si>
    <t>remoteintech@remote-jobs.xlsx</t>
  </si>
  <si>
    <t>remy@nodemon.xlsx</t>
  </si>
  <si>
    <t>renatomarinho@laravel-page-speed.xlsx</t>
  </si>
  <si>
    <t>renovatebot@renovate.xlsx</t>
  </si>
  <si>
    <t>reportportal@reportportal.xlsx</t>
  </si>
  <si>
    <t>requery@requery.xlsx</t>
  </si>
  <si>
    <t>request@request.xlsx</t>
  </si>
  <si>
    <t>resque@resque.xlsx</t>
  </si>
  <si>
    <t>restify@node-restify.xlsx</t>
  </si>
  <si>
    <t>restsharp@RestSharp.xlsx</t>
  </si>
  <si>
    <t>retejs@rete.xlsx</t>
  </si>
  <si>
    <t>rethinkdb@horizon.xlsx</t>
  </si>
  <si>
    <t>rethinkdb@rethinkdb.xlsx</t>
  </si>
  <si>
    <t>rethinkdb@rethinkdb_rebirth.xlsx</t>
  </si>
  <si>
    <t>retorquere@zotero-better-bibtex.xlsx</t>
  </si>
  <si>
    <t>rgeo@rgeo.xlsx</t>
  </si>
  <si>
    <t>rgommezz@react-native-scroll-bottom-sheet.xlsx</t>
  </si>
  <si>
    <t>rhomobile@rhodes.xlsx</t>
  </si>
  <si>
    <t>rinvex@countries.xlsx</t>
  </si>
  <si>
    <t>ritiek@spotify-downloader.xlsx</t>
  </si>
  <si>
    <t>rjsf-team@react-jsonschema-form.xlsx</t>
  </si>
  <si>
    <t>rmosolgo@graphql-ruby.xlsx</t>
  </si>
  <si>
    <t>robolectric@robolectric.xlsx</t>
  </si>
  <si>
    <t>robotmedia@RMStore.xlsx</t>
  </si>
  <si>
    <t>rocker-org@rocker.xlsx</t>
  </si>
  <si>
    <t>rocketeers@rocketeer.xlsx</t>
  </si>
  <si>
    <t>roidrage@lograge.xlsx</t>
  </si>
  <si>
    <t>rolling-scopes@rsschool-app.xlsx</t>
  </si>
  <si>
    <t>rollup@rollup.xlsx</t>
  </si>
  <si>
    <t>rom-rb@rom.xlsx</t>
  </si>
  <si>
    <t>romefrontend@rome.xlsx</t>
  </si>
  <si>
    <t>root-project@root.xlsx</t>
  </si>
  <si>
    <t>rotorgames@Rg.Plugins.Popup.xlsx</t>
  </si>
  <si>
    <t>router5@router5.xlsx</t>
  </si>
  <si>
    <t>rsms@inter.xlsx</t>
  </si>
  <si>
    <t>rspamd@rspamd.xlsx</t>
  </si>
  <si>
    <t>rspec@rspec-core.xlsx</t>
  </si>
  <si>
    <t>rspec@rspec-expectations.xlsx</t>
  </si>
  <si>
    <t>rspec@rspec-mocks.xlsx</t>
  </si>
  <si>
    <t>rspec@rspec-rails.xlsx</t>
  </si>
  <si>
    <t>rstudio@rstudio.xlsx</t>
  </si>
  <si>
    <t>rsuite@rsuite.xlsx</t>
  </si>
  <si>
    <t>rswag@rswag.xlsx</t>
  </si>
  <si>
    <t>rsyslog@rsyslog.xlsx</t>
  </si>
  <si>
    <t>rtfpessoa@diff2html.xlsx</t>
  </si>
  <si>
    <t>rubberduck-vba@Rubberduck.xlsx</t>
  </si>
  <si>
    <t>rubinius@rubinius.xlsx</t>
  </si>
  <si>
    <t>rubocop-hq@rubocop.xlsx</t>
  </si>
  <si>
    <t>ruboto@ruboto.xlsx</t>
  </si>
  <si>
    <t>ruby-amqp@bunny.xlsx</t>
  </si>
  <si>
    <t>ruby-concurrency@concurrent-ruby.xlsx</t>
  </si>
  <si>
    <t>ruby-git@ruby-git.xlsx</t>
  </si>
  <si>
    <t>ruby-grape@grape-swagger.xlsx</t>
  </si>
  <si>
    <t>ruby-grape@grape.xlsx</t>
  </si>
  <si>
    <t>ruby-json-schema@json-schema.xlsx</t>
  </si>
  <si>
    <t>rubygems@rubygems.org.xlsx</t>
  </si>
  <si>
    <t>rubygems@rubygems.xlsx</t>
  </si>
  <si>
    <t>rubyide@vscode-ruby.xlsx</t>
  </si>
  <si>
    <t>rubysec@ruby-advisory-db.xlsx</t>
  </si>
  <si>
    <t>rubysherpas@forem.xlsx</t>
  </si>
  <si>
    <t>rubysherpas@paranoia.xlsx</t>
  </si>
  <si>
    <t>runelite@runelite.xlsx</t>
  </si>
  <si>
    <t>runtimejs@runtime.xlsx</t>
  </si>
  <si>
    <t>rust-lang-nursery@rust-cookbook.xlsx</t>
  </si>
  <si>
    <t>rust-lang@rust-bindgen.xlsx</t>
  </si>
  <si>
    <t>rust-lang@vscode-rust.xlsx</t>
  </si>
  <si>
    <t>rusty1s@pytorch_geometric.xlsx</t>
  </si>
  <si>
    <t>rvm@rvm.xlsx</t>
  </si>
  <si>
    <t>rwaldron@johnny-five.xlsx</t>
  </si>
  <si>
    <t>rwv@chinese-dos-games.xlsx</t>
  </si>
  <si>
    <t>ryanb@cancan.xlsx</t>
  </si>
  <si>
    <t>ryanb@nested_form.xlsx</t>
  </si>
  <si>
    <t>s-panferov@awesome-typescript-loader.xlsx</t>
  </si>
  <si>
    <t>sabre-io@dav.xlsx</t>
  </si>
  <si>
    <t>saleem-hadad@larecipe.xlsx</t>
  </si>
  <si>
    <t>salesagility@SuiteCRM.xlsx</t>
  </si>
  <si>
    <t>saltstack@salt.xlsx</t>
  </si>
  <si>
    <t>samber@awesome-prometheus-alerts.xlsx</t>
  </si>
  <si>
    <t>sameersbn@docker-gitlab.xlsx</t>
  </si>
  <si>
    <t>samuelcolvin@pydantic.xlsx</t>
  </si>
  <si>
    <t>sass@libsass.xlsx</t>
  </si>
  <si>
    <t>sass@node-sass.xlsx</t>
  </si>
  <si>
    <t>sass@sass.xlsx</t>
  </si>
  <si>
    <t>satwikkansal@wtfpython.xlsx</t>
  </si>
  <si>
    <t>saulpw@visidata.xlsx</t>
  </si>
  <si>
    <t>savonrb@savon.xlsx</t>
  </si>
  <si>
    <t>sb2nov@mac-setup.xlsx</t>
  </si>
  <si>
    <t>scenic-views@scenic.xlsx</t>
  </si>
  <si>
    <t>schmittjoh@metadata.xlsx</t>
  </si>
  <si>
    <t>schmittjoh@serializer.xlsx</t>
  </si>
  <si>
    <t>scikit-learn-contrib@imbalanced-learn.xlsx</t>
  </si>
  <si>
    <t>scikit-learn@scikit-learn.xlsx</t>
  </si>
  <si>
    <t>scop@bash-completion.xlsx</t>
  </si>
  <si>
    <t>scottjehl@picturefill.xlsx</t>
  </si>
  <si>
    <t>scribbletune@scribbletune.xlsx</t>
  </si>
  <si>
    <t>scriptcs@scriptcs.xlsx</t>
  </si>
  <si>
    <t>scullyio@scully.xlsx</t>
  </si>
  <si>
    <t>scummvm@scummvm.xlsx</t>
  </si>
  <si>
    <t>scylladb@scylla.xlsx</t>
  </si>
  <si>
    <t>scylladb@seastar.xlsx</t>
  </si>
  <si>
    <t>sdelements@lets-chat.xlsx</t>
  </si>
  <si>
    <t>sds@overcommit.xlsx</t>
  </si>
  <si>
    <t>seL4@seL4.xlsx</t>
  </si>
  <si>
    <t>sebastianbergmann@phpunit.xlsx</t>
  </si>
  <si>
    <t>secdev@scapy.xlsx</t>
  </si>
  <si>
    <t>segmentio@evergreen.xlsx</t>
  </si>
  <si>
    <t>select2@select2.xlsx</t>
  </si>
  <si>
    <t>semantic-release@semantic-release.xlsx</t>
  </si>
  <si>
    <t>sendgrid@sendgrid-csharp.xlsx</t>
  </si>
  <si>
    <t>sendgrid@sendgrid-php.xlsx</t>
  </si>
  <si>
    <t>sensepost@objection.xlsx</t>
  </si>
  <si>
    <t>sensu@sensu.xlsx</t>
  </si>
  <si>
    <t>sequelize@sequelize.xlsx</t>
  </si>
  <si>
    <t>serbanghita@Mobile-Detect.xlsx</t>
  </si>
  <si>
    <t>sergeche@emmet-sublime.xlsx</t>
  </si>
  <si>
    <t>serilog@serilog.xlsx</t>
  </si>
  <si>
    <t>serverless@serverless.xlsx</t>
  </si>
  <si>
    <t>sestoft@C5.xlsx</t>
  </si>
  <si>
    <t>sferik@rails_admin.xlsx</t>
  </si>
  <si>
    <t>sferik@t.xlsx</t>
  </si>
  <si>
    <t>sferik@twitter.xlsx</t>
  </si>
  <si>
    <t>sfzhang15@RefineDet.xlsx</t>
  </si>
  <si>
    <t>shadowsocksr-backup@shadowsocksr.xlsx</t>
  </si>
  <si>
    <t>shakacode@react_on_rails.xlsx</t>
  </si>
  <si>
    <t>shanalikhan@code-settings-sync.xlsx</t>
  </si>
  <si>
    <t>sharetribe@sharetribe.xlsx</t>
  </si>
  <si>
    <t>shelljs@shelljs.xlsx</t>
  </si>
  <si>
    <t>sherlock-project@sherlock.xlsx</t>
  </si>
  <si>
    <t>shipshapecode@shepherd.xlsx</t>
  </si>
  <si>
    <t>shipshapecode@tether.xlsx</t>
  </si>
  <si>
    <t>shivammathur@setup-php.xlsx</t>
  </si>
  <si>
    <t>shoelace-style@shoelace.xlsx</t>
  </si>
  <si>
    <t>shoes@shoes4.xlsx</t>
  </si>
  <si>
    <t>shopware@shopware.xlsx</t>
  </si>
  <si>
    <t>shouldly@shouldly.xlsx</t>
  </si>
  <si>
    <t>shrinerb@shrine.xlsx</t>
  </si>
  <si>
    <t>shutterstock@rickshaw.xlsx</t>
  </si>
  <si>
    <t>siemens@jailhouse.xlsx</t>
  </si>
  <si>
    <t>signalapp@Signal-Android.xlsx</t>
  </si>
  <si>
    <t>signalapp@Signal-Desktop.xlsx</t>
  </si>
  <si>
    <t>silentbicycle@greatest.xlsx</t>
  </si>
  <si>
    <t>simbody@simbody.xlsx</t>
  </si>
  <si>
    <t>simdjson@simdjson.xlsx</t>
  </si>
  <si>
    <t>simonwhitaker@gibo.xlsx</t>
  </si>
  <si>
    <t>simplcommerce@SimplCommerce.xlsx</t>
  </si>
  <si>
    <t>sinatra@sinatra.xlsx</t>
  </si>
  <si>
    <t>sindresorhus@refined-github.xlsx</t>
  </si>
  <si>
    <t>sindresorhus@type-fest.xlsx</t>
  </si>
  <si>
    <t>sintaxi@harp.xlsx</t>
  </si>
  <si>
    <t>sivel@speedtest-cli.xlsx</t>
  </si>
  <si>
    <t>skvark@opencv-python.xlsx</t>
  </si>
  <si>
    <t>skycocker@chromebrew.xlsx</t>
  </si>
  <si>
    <t>skylot@jadx.xlsx</t>
  </si>
  <si>
    <t>skypjack@entt.xlsx</t>
  </si>
  <si>
    <t>slack-ruby@slack-ruby-bot.xlsx</t>
  </si>
  <si>
    <t>slack-ruby@slack-ruby-client.xlsx</t>
  </si>
  <si>
    <t>slacka@WoeUSB.xlsx</t>
  </si>
  <si>
    <t>slackapi@bolt-js.xlsx</t>
  </si>
  <si>
    <t>slackapi@node-slack-sdk.xlsx</t>
  </si>
  <si>
    <t>slackapi@python-slackclient.xlsx</t>
  </si>
  <si>
    <t>slic3r@Slic3r.xlsx</t>
  </si>
  <si>
    <t>slimphp@Slim-Skeleton.xlsx</t>
  </si>
  <si>
    <t>slimphp@Slim.xlsx</t>
  </si>
  <si>
    <t>sloria@doitlive.xlsx</t>
  </si>
  <si>
    <t>smogon@pokemon-showdown.xlsx</t>
  </si>
  <si>
    <t>snabbdom@snabbdom.xlsx</t>
  </si>
  <si>
    <t>snapappointments@bootstrap-select.xlsx</t>
  </si>
  <si>
    <t>snorkel-team@snorkel.xlsx</t>
  </si>
  <si>
    <t>snozbot@fungus.xlsx</t>
  </si>
  <si>
    <t>snyk@snyk.xlsx</t>
  </si>
  <si>
    <t>sobolevn@git-secret.xlsx</t>
  </si>
  <si>
    <t>sofastack@sofa-boot.xlsx</t>
  </si>
  <si>
    <t>sofastack@sofa-jarslink.xlsx</t>
  </si>
  <si>
    <t>soimort@you-get.xlsx</t>
  </si>
  <si>
    <t>solidusio@solidus.xlsx</t>
  </si>
  <si>
    <t>solnic@virtus.xlsx</t>
  </si>
  <si>
    <t>solvespace@solvespace.xlsx</t>
  </si>
  <si>
    <t>sorbet@sorbet.xlsx</t>
  </si>
  <si>
    <t>sorin-ionescu@prezto.xlsx</t>
  </si>
  <si>
    <t>source-foundry@Hack.xlsx</t>
  </si>
  <si>
    <t>sovereign@sovereign.xlsx</t>
  </si>
  <si>
    <t>sparklemotion@nokogiri.xlsx</t>
  </si>
  <si>
    <t>spatie@async.xlsx</t>
  </si>
  <si>
    <t>spatie@browsershot.xlsx</t>
  </si>
  <si>
    <t>spatie@crawler.xlsx</t>
  </si>
  <si>
    <t>spatie@image-optimizer.xlsx</t>
  </si>
  <si>
    <t>spatie@laravel-activitylog.xlsx</t>
  </si>
  <si>
    <t>spatie@laravel-analytics.xlsx</t>
  </si>
  <si>
    <t>spatie@laravel-backup.xlsx</t>
  </si>
  <si>
    <t>spatie@laravel-fractal.xlsx</t>
  </si>
  <si>
    <t>spatie@laravel-medialibrary.xlsx</t>
  </si>
  <si>
    <t>spatie@laravel-newsletter.xlsx</t>
  </si>
  <si>
    <t>spatie@laravel-permission.xlsx</t>
  </si>
  <si>
    <t>spatie@laravel-query-builder.xlsx</t>
  </si>
  <si>
    <t>spatie@laravel-responsecache.xlsx</t>
  </si>
  <si>
    <t>spatie@laravel-sitemap.xlsx</t>
  </si>
  <si>
    <t>spatie@laravel-translatable.xlsx</t>
  </si>
  <si>
    <t>splitrb@split.xlsx</t>
  </si>
  <si>
    <t>spockframework@spock.xlsx</t>
  </si>
  <si>
    <t>spotify@backstage.xlsx</t>
  </si>
  <si>
    <t>spotify@docker-gc.xlsx</t>
  </si>
  <si>
    <t>spotify@docker-maven-plugin.xlsx</t>
  </si>
  <si>
    <t>spree@spree.xlsx</t>
  </si>
  <si>
    <t>spring-cloud@spring-cloud-gateway.xlsx</t>
  </si>
  <si>
    <t>spring-cloud@spring-cloud-netflix.xlsx</t>
  </si>
  <si>
    <t>springfox@springfox.xlsx</t>
  </si>
  <si>
    <t>spulec@moto.xlsx</t>
  </si>
  <si>
    <t>spyder-ide@spyder.xlsx</t>
  </si>
  <si>
    <t>sqlmapproject@sqlmap.xlsx</t>
  </si>
  <si>
    <t>square@android-times-square.xlsx</t>
  </si>
  <si>
    <t>square@dagger.xlsx</t>
  </si>
  <si>
    <t>square@flow.xlsx</t>
  </si>
  <si>
    <t>square@javapoet.xlsx</t>
  </si>
  <si>
    <t>square@moshi.xlsx</t>
  </si>
  <si>
    <t>square@okhttp.xlsx</t>
  </si>
  <si>
    <t>square@otto.xlsx</t>
  </si>
  <si>
    <t>square@picasso.xlsx</t>
  </si>
  <si>
    <t>square@sqlbrite.xlsx</t>
  </si>
  <si>
    <t>square@tape.xlsx</t>
  </si>
  <si>
    <t>square@workflow.xlsx</t>
  </si>
  <si>
    <t>squidfunk@mkdocs-material.xlsx</t>
  </si>
  <si>
    <t>squizlabs@PHP_CodeSniffer.xlsx</t>
  </si>
  <si>
    <t>srdja@Collections-C.xlsx</t>
  </si>
  <si>
    <t>sschmid@Entitas-CSharp.xlsx</t>
  </si>
  <si>
    <t>sstalle@php7cc.xlsx</t>
  </si>
  <si>
    <t>staltz@xstream.xlsx</t>
  </si>
  <si>
    <t>stanfordnlp@CoreNLP.xlsx</t>
  </si>
  <si>
    <t>stanfordnlp@stanza.xlsx</t>
  </si>
  <si>
    <t>steemit@steem.xlsx</t>
  </si>
  <si>
    <t>stefanzweifel@laravel-stats.xlsx</t>
  </si>
  <si>
    <t>stellar@stellar-core.xlsx</t>
  </si>
  <si>
    <t>stephane@libmodbus.xlsx</t>
  </si>
  <si>
    <t>stewartmcgown@uds.xlsx</t>
  </si>
  <si>
    <t>stilliard@docker-pure-ftpd.xlsx</t>
  </si>
  <si>
    <t>stlink-org@stlink.xlsx</t>
  </si>
  <si>
    <t>stm32duino@Arduino_Core_STM32.xlsx</t>
  </si>
  <si>
    <t>stoplightio@prism.xlsx</t>
  </si>
  <si>
    <t>storybookjs@storybook.xlsx</t>
  </si>
  <si>
    <t>strapi@strapi.xlsx</t>
  </si>
  <si>
    <t>streamaserver@streama.xlsx</t>
  </si>
  <si>
    <t>streamich@react-use.xlsx</t>
  </si>
  <si>
    <t>streamlink@streamlink.xlsx</t>
  </si>
  <si>
    <t>streamlit@streamlit.xlsx</t>
  </si>
  <si>
    <t>stride3d@stride.xlsx</t>
  </si>
  <si>
    <t>strongloop@loopback-next.xlsx</t>
  </si>
  <si>
    <t>stryker-mutator@stryker.xlsx</t>
  </si>
  <si>
    <t>stsrki@Blazorise.xlsx</t>
  </si>
  <si>
    <t>styfle@packagephobia.xlsx</t>
  </si>
  <si>
    <t>styled-components@styled-components.xlsx</t>
  </si>
  <si>
    <t>styleguidist@react-styleguidist.xlsx</t>
  </si>
  <si>
    <t>stylus@stylus.xlsx</t>
  </si>
  <si>
    <t>subsurface@subsurface.xlsx</t>
  </si>
  <si>
    <t>summerblue@phphub.xlsx</t>
  </si>
  <si>
    <t>sveltejs@svelte.xlsx</t>
  </si>
  <si>
    <t>swaywm@sway.xlsx</t>
  </si>
  <si>
    <t>swaywm@wlroots.xlsx</t>
  </si>
  <si>
    <t>swoft-cloud@swoft.xlsx</t>
  </si>
  <si>
    <t>symfony@symfony.xlsx</t>
  </si>
  <si>
    <t>sympy@sympy.xlsx</t>
  </si>
  <si>
    <t>syndbg@goenv.xlsx</t>
  </si>
  <si>
    <t>syslog-ng@syslog-ng.xlsx</t>
  </si>
  <si>
    <t>system-ui@theme-ui.xlsx</t>
  </si>
  <si>
    <t>systemd@systemd.xlsx</t>
  </si>
  <si>
    <t>syuilo@misskey.xlsx</t>
  </si>
  <si>
    <t>szokodiakos@typegoose.xlsx</t>
  </si>
  <si>
    <t>tModLoader@tModLoader.xlsx</t>
  </si>
  <si>
    <t>taigaio@taiga-back.xlsx</t>
  </si>
  <si>
    <t>tannerlinsley@react-query.xlsx</t>
  </si>
  <si>
    <t>tannerlinsley@react-table.xlsx</t>
  </si>
  <si>
    <t>taosdata@TDengine.xlsx</t>
  </si>
  <si>
    <t>tastejs@todomvc.xlsx</t>
  </si>
  <si>
    <t>tastyigniter@TastyIgniter.xlsx</t>
  </si>
  <si>
    <t>tboox@tbox.xlsx</t>
  </si>
  <si>
    <t>teambit@bit.xlsx</t>
  </si>
  <si>
    <t>teamcapybara@capybara.xlsx</t>
  </si>
  <si>
    <t>teampoltergeist@poltergeist.xlsx</t>
  </si>
  <si>
    <t>teamserverless@k8s-on-raspbian.xlsx</t>
  </si>
  <si>
    <t>tectonic-typesetting@tectonic.xlsx</t>
  </si>
  <si>
    <t>tekezo@Karabiner.xlsx</t>
  </si>
  <si>
    <t>telegramdesktop@tdesktop.xlsx</t>
  </si>
  <si>
    <t>telerik@UI-For-UWP.xlsx</t>
  </si>
  <si>
    <t>tensorflow@cleverhans.xlsx</t>
  </si>
  <si>
    <t>tensorflow@minigo.xlsx</t>
  </si>
  <si>
    <t>tensorflow@nmt.xlsx</t>
  </si>
  <si>
    <t>tensorflow@playground.xlsx</t>
  </si>
  <si>
    <t>tensorflow@tensor2tensor.xlsx</t>
  </si>
  <si>
    <t>tensorflow@tensorboard.xlsx</t>
  </si>
  <si>
    <t>tensorflow@tensorflow.xlsx</t>
  </si>
  <si>
    <t>tensorflow@tfjs-core.xlsx</t>
  </si>
  <si>
    <t>tensorflow@tfjs-models.xlsx</t>
  </si>
  <si>
    <t>tensorflow@tfjs.xlsx</t>
  </si>
  <si>
    <t>tensorforce@tensorforce.xlsx</t>
  </si>
  <si>
    <t>tensorlayer@tensorlayer.xlsx</t>
  </si>
  <si>
    <t>termux@termux-packages.xlsx</t>
  </si>
  <si>
    <t>ternjs@tern.xlsx</t>
  </si>
  <si>
    <t>tesseract-ocr@tesseract.xlsx</t>
  </si>
  <si>
    <t>test-kitchen@test-kitchen.xlsx</t>
  </si>
  <si>
    <t>testcontainers@testcontainers-java.xlsx</t>
  </si>
  <si>
    <t>testing-library@react-testing-library.xlsx</t>
  </si>
  <si>
    <t>textAngular@textAngular.xlsx</t>
  </si>
  <si>
    <t>textlint@textlint.xlsx</t>
  </si>
  <si>
    <t>tflearn@tflearn.xlsx</t>
  </si>
  <si>
    <t>thangchung@awesome-dotnet-core.xlsx</t>
  </si>
  <si>
    <t>the-benchmarker@web-frameworks.xlsx</t>
  </si>
  <si>
    <t>the-tcpdump-group@libpcap.xlsx</t>
  </si>
  <si>
    <t>thecodingmachine@safe.xlsx</t>
  </si>
  <si>
    <t>theforeman@foreman.xlsx</t>
  </si>
  <si>
    <t>theintern@intern.xlsx</t>
  </si>
  <si>
    <t>thekompanee@fuubar.xlsx</t>
  </si>
  <si>
    <t>thephpleague@climate.xlsx</t>
  </si>
  <si>
    <t>thephpleague@color-extractor.xlsx</t>
  </si>
  <si>
    <t>thephpleague@commonmark.xlsx</t>
  </si>
  <si>
    <t>thephpleague@csv.xlsx</t>
  </si>
  <si>
    <t>thephpleague@fractal.xlsx</t>
  </si>
  <si>
    <t>thephpleague@geotools.xlsx</t>
  </si>
  <si>
    <t>thephpleague@html-to-markdown.xlsx</t>
  </si>
  <si>
    <t>thephpleague@oauth2-client.xlsx</t>
  </si>
  <si>
    <t>thephpleague@oauth2-server.xlsx</t>
  </si>
  <si>
    <t>thephpleague@plates.xlsx</t>
  </si>
  <si>
    <t>thephpleague@skeleton.xlsx</t>
  </si>
  <si>
    <t>thepirat000@Audit.NET.xlsx</t>
  </si>
  <si>
    <t>thi-ng@umbrella.xlsx</t>
  </si>
  <si>
    <t>thiagoalessio@tesseract-ocr-for-php.xlsx</t>
  </si>
  <si>
    <t>thibmaek@awesome-raspberry-pi.xlsx</t>
  </si>
  <si>
    <t>thomasdondorf@puppeteer-cluster.xlsx</t>
  </si>
  <si>
    <t>thoughtbot@administrate.xlsx</t>
  </si>
  <si>
    <t>thoughtbot@appraisal.xlsx</t>
  </si>
  <si>
    <t>thoughtbot@bourbon.xlsx</t>
  </si>
  <si>
    <t>thoughtbot@capybara-webkit.xlsx</t>
  </si>
  <si>
    <t>thoughtbot@clearance.xlsx</t>
  </si>
  <si>
    <t>thoughtbot@factory_bot.xlsx</t>
  </si>
  <si>
    <t>thoughtbot@factory_bot_rails.xlsx</t>
  </si>
  <si>
    <t>thoughtbot@gitsh.xlsx</t>
  </si>
  <si>
    <t>thoughtbot@griddler.xlsx</t>
  </si>
  <si>
    <t>thoughtbot@high_voltage.xlsx</t>
  </si>
  <si>
    <t>thoughtbot@neat.xlsx</t>
  </si>
  <si>
    <t>thoughtbot@paperclip.xlsx</t>
  </si>
  <si>
    <t>thoughtbot@parity.xlsx</t>
  </si>
  <si>
    <t>thoughtbot@shoulda-matchers.xlsx</t>
  </si>
  <si>
    <t>thoughtbot@suspenders.xlsx</t>
  </si>
  <si>
    <t>threat9@routersploit.xlsx</t>
  </si>
  <si>
    <t>thrust@thrust.xlsx</t>
  </si>
  <si>
    <t>thumbor@thumbor.xlsx</t>
  </si>
  <si>
    <t>tiangolo@full-stack-fastapi-postgresql.xlsx</t>
  </si>
  <si>
    <t>tightenco@ziggy.xlsx</t>
  </si>
  <si>
    <t>timber@timber.xlsx</t>
  </si>
  <si>
    <t>timescale@timescaledb.xlsx</t>
  </si>
  <si>
    <t>timmywil@panzoom.xlsx</t>
  </si>
  <si>
    <t>tinacms@tinacms.xlsx</t>
  </si>
  <si>
    <t>tinfoil@devise-two-factor.xlsx</t>
  </si>
  <si>
    <t>tiny-dnn@tiny-dnn.xlsx</t>
  </si>
  <si>
    <t>tinymce@tinymce.xlsx</t>
  </si>
  <si>
    <t>tizonia@tizonia-openmax-il.xlsx</t>
  </si>
  <si>
    <t>tj@commander.js.xlsx</t>
  </si>
  <si>
    <t>tj@git-extras.xlsx</t>
  </si>
  <si>
    <t>tj@n.xlsx</t>
  </si>
  <si>
    <t>tldr-pages@tldr.xlsx</t>
  </si>
  <si>
    <t>tmux-python@tmuxp.xlsx</t>
  </si>
  <si>
    <t>tmux@tmux.xlsx</t>
  </si>
  <si>
    <t>todotxt@todo.txt-cli.xlsx</t>
  </si>
  <si>
    <t>tomastrajan@angular-ngrx-material-starter.xlsx</t>
  </si>
  <si>
    <t>tomav@docker-mailserver.xlsx</t>
  </si>
  <si>
    <t>tonaljs@tonal.xlsx</t>
  </si>
  <si>
    <t>tootsuite@mastodon.xlsx</t>
  </si>
  <si>
    <t>torch@torch7.xlsx</t>
  </si>
  <si>
    <t>tqdm@tqdm.xlsx</t>
  </si>
  <si>
    <t>traccar@traccar.xlsx</t>
  </si>
  <si>
    <t>tradingview@lightweight-charts.xlsx</t>
  </si>
  <si>
    <t>traduora@traduora.xlsx</t>
  </si>
  <si>
    <t>trailblazer@roar.xlsx</t>
  </si>
  <si>
    <t>trailblazer@trailblazer.xlsx</t>
  </si>
  <si>
    <t>trailofbits@algo.xlsx</t>
  </si>
  <si>
    <t>transloadit@uppy.xlsx</t>
  </si>
  <si>
    <t>travis-ci@dpl.xlsx</t>
  </si>
  <si>
    <t>trekhleb@javascript-algorithms.xlsx</t>
  </si>
  <si>
    <t>trimstray@htrace.sh.xlsx</t>
  </si>
  <si>
    <t>trimstray@multitor.xlsx</t>
  </si>
  <si>
    <t>trimstray@nginx-admins-handbook.xlsx</t>
  </si>
  <si>
    <t>trimstray@sandmap.xlsx</t>
  </si>
  <si>
    <t>troessner@reek.xlsx</t>
  </si>
  <si>
    <t>trojan-gfw@trojan.xlsx</t>
  </si>
  <si>
    <t>tronprotocol@java-tron.xlsx</t>
  </si>
  <si>
    <t>trufflesuite@truffle.xlsx</t>
  </si>
  <si>
    <t>tuguangquan@mybatis.xlsx</t>
  </si>
  <si>
    <t>tvheadend@tvheadend.xlsx</t>
  </si>
  <si>
    <t>twbs@bootstrap-sass.xlsx</t>
  </si>
  <si>
    <t>twbs@bootstrap.xlsx</t>
  </si>
  <si>
    <t>twilio@twilio-php.xlsx</t>
  </si>
  <si>
    <t>twilio@twilio-ruby.xlsx</t>
  </si>
  <si>
    <t>twisted@twisted.xlsx</t>
  </si>
  <si>
    <t>twitter@fatcache.xlsx</t>
  </si>
  <si>
    <t>twitter@twurl.xlsx</t>
  </si>
  <si>
    <t>twitter@typeahead.js.xlsx</t>
  </si>
  <si>
    <t>twosigma@beakerx.xlsx</t>
  </si>
  <si>
    <t>tymondesigns@jwt-auth.xlsx</t>
  </si>
  <si>
    <t>typekit@webfontloader.xlsx</t>
  </si>
  <si>
    <t>typeorm@typeorm.xlsx</t>
  </si>
  <si>
    <t>typescript-cheatsheets@react-typescript-cheatsheet.xlsx</t>
  </si>
  <si>
    <t>typescript-eslint@typescript-eslint.xlsx</t>
  </si>
  <si>
    <t>typestyle@typestyle.xlsx</t>
  </si>
  <si>
    <t>typhoeus@typhoeus.xlsx</t>
  </si>
  <si>
    <t>tzapu@WiFiManager.xlsx</t>
  </si>
  <si>
    <t>uBlockOrigin@uAssets.xlsx</t>
  </si>
  <si>
    <t>uber-archive@pyflame.xlsx</t>
  </si>
  <si>
    <t>uber@AutoDispose.xlsx</t>
  </si>
  <si>
    <t>uber@NullAway.xlsx</t>
  </si>
  <si>
    <t>uber@RIBs.xlsx</t>
  </si>
  <si>
    <t>uber@baseweb.xlsx</t>
  </si>
  <si>
    <t>uber@h3.xlsx</t>
  </si>
  <si>
    <t>ubilabs@react-geosuggest.xlsx</t>
  </si>
  <si>
    <t>ucbrise@confluo.xlsx</t>
  </si>
  <si>
    <t>udos86@ng-dynamic-forms.xlsx</t>
  </si>
  <si>
    <t>ueokande@vim-vixen.xlsx</t>
  </si>
  <si>
    <t>uglide@RedisDesktopManager.xlsx</t>
  </si>
  <si>
    <t>umbraco@Umbraco-CMS.xlsx</t>
  </si>
  <si>
    <t>uncrustify@uncrustify.xlsx</t>
  </si>
  <si>
    <t>unixorn@awesome-zsh-plugins.xlsx</t>
  </si>
  <si>
    <t>unixorn@git-extra-commands.xlsx</t>
  </si>
  <si>
    <t>unoplatform@uno.xlsx</t>
  </si>
  <si>
    <t>unosquare@embedio.xlsx</t>
  </si>
  <si>
    <t>unosquare@passcore.xlsx</t>
  </si>
  <si>
    <t>upmin@upmin-admin-ruby.xlsx</t>
  </si>
  <si>
    <t>urbit@urbit.xlsx</t>
  </si>
  <si>
    <t>urish@ngx-moment.xlsx</t>
  </si>
  <si>
    <t>utterance@utterances.xlsx</t>
  </si>
  <si>
    <t>uuidjs@uuid.xlsx</t>
  </si>
  <si>
    <t>uxmal@reko.xlsx</t>
  </si>
  <si>
    <t>uxsolutions@bootstrap-datepicker.xlsx</t>
  </si>
  <si>
    <t>v1s1t0r1sh3r3@airgeddon.xlsx</t>
  </si>
  <si>
    <t>valor-software@ngx-bootstrap.xlsx</t>
  </si>
  <si>
    <t>vanilla@vanilla.xlsx</t>
  </si>
  <si>
    <t>varvet@pundit.xlsx</t>
  </si>
  <si>
    <t>vavr-io@vavr.xlsx</t>
  </si>
  <si>
    <t>vazco@uniforms.xlsx</t>
  </si>
  <si>
    <t>vcr@vcr.xlsx</t>
  </si>
  <si>
    <t>veandco@go-sdl2.xlsx</t>
  </si>
  <si>
    <t>vega@lyra.xlsx</t>
  </si>
  <si>
    <t>vega@vega-lite.xlsx</t>
  </si>
  <si>
    <t>vega@vega.xlsx</t>
  </si>
  <si>
    <t>vega@voyager.xlsx</t>
  </si>
  <si>
    <t>vendure-ecommerce@vendure.xlsx</t>
  </si>
  <si>
    <t>vercel@next.js.xlsx</t>
  </si>
  <si>
    <t>vercel@og-image.xlsx</t>
  </si>
  <si>
    <t>vercel@vercel.xlsx</t>
  </si>
  <si>
    <t>verdaccio@verdaccio.xlsx</t>
  </si>
  <si>
    <t>vergecurrency@verge.xlsx</t>
  </si>
  <si>
    <t>versatica@mediasoup.xlsx</t>
  </si>
  <si>
    <t>versionpress@versionpress.xlsx</t>
  </si>
  <si>
    <t>vespa-engine@vespa.xlsx</t>
  </si>
  <si>
    <t>vibora-io@vibora.xlsx</t>
  </si>
  <si>
    <t>videojs@video.js.xlsx</t>
  </si>
  <si>
    <t>viljamis@responsive-nav.js.xlsx</t>
  </si>
  <si>
    <t>vimeo@psalm.xlsx</t>
  </si>
  <si>
    <t>vinta@awesome-python.xlsx</t>
  </si>
  <si>
    <t>vis2k@Mirror.xlsx</t>
  </si>
  <si>
    <t>vitalets@x-editable.xlsx</t>
  </si>
  <si>
    <t>vitejs@vite.xlsx</t>
  </si>
  <si>
    <t>vlucas@phpdotenv.xlsx</t>
  </si>
  <si>
    <t>vmware-tanzu@tgik.xlsx</t>
  </si>
  <si>
    <t>vmware@clarity.xlsx</t>
  </si>
  <si>
    <t>voat@voat.xlsx</t>
  </si>
  <si>
    <t>void-linux@void-packages.xlsx</t>
  </si>
  <si>
    <t>voidcosmos@npkill.xlsx</t>
  </si>
  <si>
    <t>voila-dashboards@voila.xlsx</t>
  </si>
  <si>
    <t>voltrb@volt.xlsx</t>
  </si>
  <si>
    <t>vriad@zod.xlsx</t>
  </si>
  <si>
    <t>vue-styleguidist@vue-styleguidist.xlsx</t>
  </si>
  <si>
    <t>vuejs@vitepress.xlsx</t>
  </si>
  <si>
    <t>vuejs@vue-cli.xlsx</t>
  </si>
  <si>
    <t>vuejs@vue-next.xlsx</t>
  </si>
  <si>
    <t>vuejs@vue.xlsx</t>
  </si>
  <si>
    <t>vuejs@vuepress.xlsx</t>
  </si>
  <si>
    <t>vuejs@vuex.xlsx</t>
  </si>
  <si>
    <t>vuelidate@vuelidate.xlsx</t>
  </si>
  <si>
    <t>vuesion@vuesion.xlsx</t>
  </si>
  <si>
    <t>vuetifyjs@vuetify.xlsx</t>
  </si>
  <si>
    <t>wagtail@wagtail.xlsx</t>
  </si>
  <si>
    <t>wallabag@wallabag.xlsx</t>
  </si>
  <si>
    <t>watson-developer-cloud@node-sdk.xlsx</t>
  </si>
  <si>
    <t>web-push-libs@web-push-php.xlsx</t>
  </si>
  <si>
    <t>web3j@web3j.xlsx</t>
  </si>
  <si>
    <t>webdriverio@webdriverio.xlsx</t>
  </si>
  <si>
    <t>webhintio@hint.xlsx</t>
  </si>
  <si>
    <t>webiny@webiny-js.xlsx</t>
  </si>
  <si>
    <t>webpack-contrib@mini-css-extract-plugin.xlsx</t>
  </si>
  <si>
    <t>webpack-contrib@webpack-bundle-analyzer.xlsx</t>
  </si>
  <si>
    <t>webpack@webpack-dev-server.xlsx</t>
  </si>
  <si>
    <t>webpack@webpack.xlsx</t>
  </si>
  <si>
    <t>webrtc@samples.xlsx</t>
  </si>
  <si>
    <t>wechaty@wechaty.xlsx</t>
  </si>
  <si>
    <t>welaika@wordmove.xlsx</t>
  </si>
  <si>
    <t>wellyshen@react-cool-starter.xlsx</t>
  </si>
  <si>
    <t>wenzhixin@bootstrap-table.xlsx</t>
  </si>
  <si>
    <t>weppos@whois.xlsx</t>
  </si>
  <si>
    <t>weprovide@valet-plus.xlsx</t>
  </si>
  <si>
    <t>wereturtle@ghostwriter.xlsx</t>
  </si>
  <si>
    <t>wesnoth@wesnoth.xlsx</t>
  </si>
  <si>
    <t>whoshuu@cpr.xlsx</t>
  </si>
  <si>
    <t>willianjusten@awesome-audio-visualization.xlsx</t>
  </si>
  <si>
    <t>willianjusten@awesome-svg.xlsx</t>
  </si>
  <si>
    <t>willmcgugan@rich.xlsx</t>
  </si>
  <si>
    <t>willowtreeapps@spruce-android.xlsx</t>
  </si>
  <si>
    <t>windows-toolkit@WindowsCommunityToolkit.xlsx</t>
  </si>
  <si>
    <t>winjs@winjs.xlsx</t>
  </si>
  <si>
    <t>winshining@nginx-http-flv-module.xlsx</t>
  </si>
  <si>
    <t>winstonjs@winston.xlsx</t>
  </si>
  <si>
    <t>winsw@winsw.xlsx</t>
  </si>
  <si>
    <t>wix@stylable.xlsx</t>
  </si>
  <si>
    <t>woocommerce@FlexSlider.xlsx</t>
  </si>
  <si>
    <t>woocommerce@woocommerce.xlsx</t>
  </si>
  <si>
    <t>wordpress-mobile@WordPress-Android.xlsx</t>
  </si>
  <si>
    <t>wp-bootstrap@wp-bootstrap-navwalker.xlsx</t>
  </si>
  <si>
    <t>wp-cli@wp-cli.xlsx</t>
  </si>
  <si>
    <t>wp-graphql@wp-graphql.xlsx</t>
  </si>
  <si>
    <t>wprig@wprig.xlsx</t>
  </si>
  <si>
    <t>wslutilities@wslu.xlsx</t>
  </si>
  <si>
    <t>wxWidgets@wxWidgets.xlsx</t>
  </si>
  <si>
    <t>x64dbg@x64dbg.xlsx</t>
  </si>
  <si>
    <t>xamarin@Essentials.xlsx</t>
  </si>
  <si>
    <t>xamarin@Xamarin.Forms.xlsx</t>
  </si>
  <si>
    <t>xbmc@xbmc.xlsx</t>
  </si>
  <si>
    <t>xcpretty@xcpretty.xlsx</t>
  </si>
  <si>
    <t>xetorthio@jedis.xlsx</t>
  </si>
  <si>
    <t>xinthink@react-native-material-kit.xlsx</t>
  </si>
  <si>
    <t>xmake-io@xmake.xlsx</t>
  </si>
  <si>
    <t>xojs@xo.xlsx</t>
  </si>
  <si>
    <t>xoseperez@espurna.xlsx</t>
  </si>
  <si>
    <t>xtermjs@xterm.js.xlsx</t>
  </si>
  <si>
    <t>xunit@xunit.xlsx</t>
  </si>
  <si>
    <t>yajra@laravel-datatables.xlsx</t>
  </si>
  <si>
    <t>yandex@gixy.xlsx</t>
  </si>
  <si>
    <t>yangshun@front-end-interview-handbook.xlsx</t>
  </si>
  <si>
    <t>yanzhenjie@AndPermission.xlsx</t>
  </si>
  <si>
    <t>yanzhenjie@AndServer.xlsx</t>
  </si>
  <si>
    <t>ycm-core@YouCompleteMe.xlsx</t>
  </si>
  <si>
    <t>ycm-core@ycmd.xlsx</t>
  </si>
  <si>
    <t>yemount@pose-animator.xlsx</t>
  </si>
  <si>
    <t>yhat@ggpy.xlsx</t>
  </si>
  <si>
    <t>yiisoft@yii2-app-advanced.xlsx</t>
  </si>
  <si>
    <t>ykfe@egg-react-ssr.xlsx</t>
  </si>
  <si>
    <t>ytdl-org@youtube-dl.xlsx</t>
  </si>
  <si>
    <t>ytisf@theZoo.xlsx</t>
  </si>
  <si>
    <t>yugabyte@yugabyte-db.xlsx</t>
  </si>
  <si>
    <t>yui@yui3.xlsx</t>
  </si>
  <si>
    <t>yujinakayama@transpec.xlsx</t>
  </si>
  <si>
    <t>z3t0@Arduino-IRremote.xlsx</t>
  </si>
  <si>
    <t>zalandoresearch@fashion-mnist.xlsx</t>
  </si>
  <si>
    <t>zaproxy@zaproxy.xlsx</t>
  </si>
  <si>
    <t>zendframework@ZendSkeletonApplication.xlsx</t>
  </si>
  <si>
    <t>zendframework@zend-code.xlsx</t>
  </si>
  <si>
    <t>zendframework@zend-diactoros.xlsx</t>
  </si>
  <si>
    <t>zendframework@zend-eventmanager.xlsx</t>
  </si>
  <si>
    <t>zenorocha@clipboard.js.xlsx</t>
  </si>
  <si>
    <t>zero-to-mastery@resources.xlsx</t>
  </si>
  <si>
    <t>zerobias@effector.xlsx</t>
  </si>
  <si>
    <t>zeroc-ice@ice.xlsx</t>
  </si>
  <si>
    <t>zeroclipboard@zeroclipboard.xlsx</t>
  </si>
  <si>
    <t>zeromq@libzmq.xlsx</t>
  </si>
  <si>
    <t>zeromq@pyzmq.xlsx</t>
  </si>
  <si>
    <t>zeux@meshoptimizer.xlsx</t>
  </si>
  <si>
    <t>zhaojh329@rtty.xlsx</t>
  </si>
  <si>
    <t>zhihu@Matisse.xlsx</t>
  </si>
  <si>
    <t>zhongsp@TypeScript.xlsx</t>
  </si>
  <si>
    <t>zhukov@webogram.xlsx</t>
  </si>
  <si>
    <t>zkSNACKs@WalletWasabi.xlsx</t>
  </si>
  <si>
    <t>zloirock@core-js.xlsx</t>
  </si>
  <si>
    <t>zmap@zmap.xlsx</t>
  </si>
  <si>
    <t>zmoazeni@csscss.xlsx</t>
  </si>
  <si>
    <t>znc@znc.xlsx</t>
  </si>
  <si>
    <t>zombocom@wicked.xlsx</t>
  </si>
  <si>
    <t>zplug@zplug.xlsx</t>
  </si>
  <si>
    <t>zsh-users@antigen.xlsx</t>
  </si>
  <si>
    <t>zsh-users@zsh-completions.xlsx</t>
  </si>
  <si>
    <t>zudochkin@awesome-newsletters.xlsx</t>
  </si>
  <si>
    <t>zulip@zulip.xlsx</t>
  </si>
  <si>
    <t>zxing@zxing.xlsx</t>
  </si>
  <si>
    <t>zzzprojects@Z.ExtensionMethods.xlsx</t>
  </si>
  <si>
    <t># Projects (&gt; 0)</t>
  </si>
  <si>
    <t>Spreadsheet</t>
  </si>
  <si>
    <t># Paragraphs</t>
  </si>
  <si>
    <t># CF – Contribution flow</t>
  </si>
  <si>
    <t># CT – Choose a task</t>
  </si>
  <si>
    <t># TC – Talk to the community</t>
  </si>
  <si>
    <t># BW – Build local workspace</t>
  </si>
  <si>
    <t># DC – Deal with the code</t>
  </si>
  <si>
    <t># SC – Submit the changes</t>
  </si>
  <si>
    <t># No categories identified.</t>
  </si>
  <si>
    <t>ET  – Escolher a tarefa</t>
  </si>
  <si>
    <t>CC - Contactar a comunidade</t>
  </si>
  <si>
    <t>CA - Construir o ambiente</t>
  </si>
  <si>
    <t>LC - Lidar com código</t>
  </si>
  <si>
    <t>SM - Submeter mudanças</t>
  </si>
  <si>
    <t xml:space="preserve">NC - Nenhuma categoria </t>
  </si>
  <si>
    <t>CF - Compreender o fluxo</t>
  </si>
  <si>
    <t># Categories Identified</t>
  </si>
  <si>
    <t># Categories Attended</t>
  </si>
  <si>
    <t>Projetos (Total)</t>
  </si>
  <si>
    <t>deepmind@trfl.xlsx</t>
  </si>
  <si>
    <t>electron@electron.xlsx</t>
  </si>
  <si>
    <t>facebook@hhvm.xlsx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</si>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</sst>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9" fillId="34" borderId="0" xfId="0" applyFont="1" applyFill="1" applyBorder="1" applyAlignment="1">
      <alignment horizontal="center" vertical="top"/>
    </xf>
    <xf numFmtId="0" fontId="18" fillId="34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Alignment="1"/>
    <xf numFmtId="0" fontId="18" fillId="33" borderId="0" xfId="0" applyFont="1" applyFill="1" applyAlignment="1">
      <alignment horizontal="center"/>
    </xf>
    <xf numFmtId="0" fontId="19" fillId="33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19" fillId="35" borderId="0" xfId="0" applyFont="1" applyFill="1" applyBorder="1" applyAlignment="1">
      <alignment horizontal="center" vertical="top"/>
    </xf>
    <xf numFmtId="0" fontId="0" fillId="0" borderId="0" xfId="0" applyFont="1" applyAlignment="1"/>
    <xf numFmtId="0" fontId="0" fillId="34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0" fontId="16" fillId="34" borderId="0" xfId="0" applyFont="1" applyFill="1" applyAlignment="1">
      <alignment horizontal="center"/>
    </xf>
    <xf numFmtId="1" fontId="0" fillId="0" borderId="0" xfId="0" applyNumberFormat="1"/>
    <xf numFmtId="9" fontId="0" fillId="0" borderId="0" xfId="42" applyFont="1"/>
    <xf numFmtId="0" fontId="18" fillId="33" borderId="0" xfId="0" applyFont="1" applyFill="1" applyAlignment="1">
      <alignment horizontal="center"/>
    </xf>
    <xf numFmtId="0" fontId="0" fillId="35" borderId="0" xfId="0" applyFont="1" applyFill="1" applyAlignment="1">
      <alignment horizontal="center"/>
    </xf>
    <xf numFmtId="9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75688976377954"/>
          <c:y val="0.16440463025074389"/>
          <c:w val="0.73086122047244106"/>
          <c:h val="0.6722781520908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'Average per Category'!$B$4</c:f>
              <c:strCache>
                <c:ptCount val="1"/>
                <c:pt idx="0">
                  <c:v># Projetos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per Category'!$C$2:$I$3</c:f>
              <c:strCache>
                <c:ptCount val="7"/>
                <c:pt idx="0">
                  <c:v>ET</c:v>
                </c:pt>
                <c:pt idx="1">
                  <c:v>CC</c:v>
                </c:pt>
                <c:pt idx="2">
                  <c:v>CF</c:v>
                </c:pt>
                <c:pt idx="3">
                  <c:v>CA</c:v>
                </c:pt>
                <c:pt idx="4">
                  <c:v>LC</c:v>
                </c:pt>
                <c:pt idx="5">
                  <c:v>SM</c:v>
                </c:pt>
                <c:pt idx="6">
                  <c:v>NC</c:v>
                </c:pt>
              </c:strCache>
            </c:strRef>
          </c:cat>
          <c:val>
            <c:numRef>
              <c:f>'Average per Category'!$C$4:$I$4</c:f>
              <c:numCache>
                <c:formatCode>General</c:formatCode>
                <c:ptCount val="7"/>
                <c:pt idx="0">
                  <c:v>332</c:v>
                </c:pt>
                <c:pt idx="1">
                  <c:v>531</c:v>
                </c:pt>
                <c:pt idx="2">
                  <c:v>1648</c:v>
                </c:pt>
                <c:pt idx="3">
                  <c:v>1162</c:v>
                </c:pt>
                <c:pt idx="4">
                  <c:v>1660</c:v>
                </c:pt>
                <c:pt idx="5">
                  <c:v>2192</c:v>
                </c:pt>
                <c:pt idx="6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483099343"/>
        <c:axId val="92192927"/>
      </c:barChart>
      <c:lineChart>
        <c:grouping val="standard"/>
        <c:varyColors val="0"/>
        <c:ser>
          <c:idx val="1"/>
          <c:order val="1"/>
          <c:tx>
            <c:strRef>
              <c:f>'Average per Category'!$B$5</c:f>
              <c:strCache>
                <c:ptCount val="1"/>
                <c:pt idx="0">
                  <c:v>Média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27000">
                <a:solidFill>
                  <a:schemeClr val="tx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1270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CFC-4CAF-AFDA-8604FBCA79FC}"/>
              </c:ext>
            </c:extLst>
          </c:dPt>
          <c:cat>
            <c:strRef>
              <c:f>'Average per Category'!$C$2:$I$3</c:f>
              <c:strCache>
                <c:ptCount val="7"/>
                <c:pt idx="0">
                  <c:v>ET</c:v>
                </c:pt>
                <c:pt idx="1">
                  <c:v>CC</c:v>
                </c:pt>
                <c:pt idx="2">
                  <c:v>CF</c:v>
                </c:pt>
                <c:pt idx="3">
                  <c:v>CA</c:v>
                </c:pt>
                <c:pt idx="4">
                  <c:v>LC</c:v>
                </c:pt>
                <c:pt idx="5">
                  <c:v>SM</c:v>
                </c:pt>
                <c:pt idx="6">
                  <c:v>NC</c:v>
                </c:pt>
              </c:strCache>
            </c:strRef>
          </c:cat>
          <c:val>
            <c:numRef>
              <c:f>'Average per Category'!$C$5:$I$5</c:f>
              <c:numCache>
                <c:formatCode>0</c:formatCode>
                <c:ptCount val="7"/>
                <c:pt idx="0">
                  <c:v>0.20519594892118009</c:v>
                </c:pt>
                <c:pt idx="1">
                  <c:v>0.47644209599295467</c:v>
                </c:pt>
                <c:pt idx="2">
                  <c:v>2.136944077498899</c:v>
                </c:pt>
                <c:pt idx="3">
                  <c:v>2.4768824306472919</c:v>
                </c:pt>
                <c:pt idx="4">
                  <c:v>3.9123734037868778</c:v>
                </c:pt>
                <c:pt idx="5">
                  <c:v>10.804931748128578</c:v>
                </c:pt>
                <c:pt idx="6">
                  <c:v>15.07661822985469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094143"/>
        <c:axId val="92196255"/>
      </c:lineChart>
      <c:catAx>
        <c:axId val="148309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92927"/>
        <c:crosses val="autoZero"/>
        <c:auto val="0"/>
        <c:lblAlgn val="ctr"/>
        <c:lblOffset val="0"/>
        <c:noMultiLvlLbl val="0"/>
      </c:catAx>
      <c:valAx>
        <c:axId val="921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layout>
            <c:manualLayout>
              <c:xMode val="edge"/>
              <c:yMode val="edge"/>
              <c:x val="4.1666666666666666E-3"/>
              <c:y val="0.35943128775618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9343"/>
        <c:crosses val="autoZero"/>
        <c:crossBetween val="between"/>
      </c:valAx>
      <c:valAx>
        <c:axId val="921962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layout>
            <c:manualLayout>
              <c:xMode val="edge"/>
              <c:yMode val="edge"/>
              <c:x val="0.95066666666666688"/>
              <c:y val="0.4298564060943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4143"/>
        <c:crosses val="max"/>
        <c:crossBetween val="between"/>
      </c:valAx>
      <c:catAx>
        <c:axId val="1483094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96255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3173665791778"/>
          <c:y val="6.7628511792153997E-2"/>
          <c:w val="0.32207556867891513"/>
          <c:h val="6.48168697270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'Meet the categories'!$C$5:$D$5</c:f>
              <c:strCache>
                <c:ptCount val="2"/>
                <c:pt idx="0">
                  <c:v># Projetos</c:v>
                </c:pt>
              </c:strCache>
            </c:strRef>
          </c:tx>
          <c:spPr>
            <a:solidFill>
              <a:srgbClr val="C72B2B"/>
            </a:solidFill>
            <a:ln>
              <a:noFill/>
            </a:ln>
            <a:effectLst/>
          </c:spPr>
          <c:invertIfNegative val="0"/>
          <c:cat>
            <c:numRef>
              <c:f>'Meet the categories'!$E$4:$L$4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categories'!$E$5:$L$5</c:f>
              <c:numCache>
                <c:formatCode>General</c:formatCode>
                <c:ptCount val="8"/>
                <c:pt idx="0">
                  <c:v>14</c:v>
                </c:pt>
                <c:pt idx="1">
                  <c:v>165</c:v>
                </c:pt>
                <c:pt idx="2" formatCode="0">
                  <c:v>411</c:v>
                </c:pt>
                <c:pt idx="3" formatCode="0">
                  <c:v>603</c:v>
                </c:pt>
                <c:pt idx="4">
                  <c:v>729</c:v>
                </c:pt>
                <c:pt idx="5" formatCode="0">
                  <c:v>287</c:v>
                </c:pt>
                <c:pt idx="6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769513375"/>
        <c:axId val="1339442863"/>
      </c:barChart>
      <c:lineChart>
        <c:grouping val="standard"/>
        <c:varyColors val="0"/>
        <c:ser>
          <c:idx val="1"/>
          <c:order val="1"/>
          <c:tx>
            <c:strRef>
              <c:f>'Meet the categories'!$C$6:$D$6</c:f>
              <c:strCache>
                <c:ptCount val="2"/>
                <c:pt idx="0">
                  <c:v>Média</c:v>
                </c:pt>
              </c:strCache>
            </c:strRef>
          </c:tx>
          <c:spPr>
            <a:ln w="508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'Meet the categories'!$E$4:$L$4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categories'!$E$6:$L$6</c:f>
              <c:numCache>
                <c:formatCode>0</c:formatCode>
                <c:ptCount val="8"/>
                <c:pt idx="0">
                  <c:v>324.85714285714283</c:v>
                </c:pt>
                <c:pt idx="1">
                  <c:v>324.85714285714283</c:v>
                </c:pt>
                <c:pt idx="2">
                  <c:v>324.85714285714283</c:v>
                </c:pt>
                <c:pt idx="3">
                  <c:v>324.85714285714283</c:v>
                </c:pt>
                <c:pt idx="4">
                  <c:v>324.85714285714283</c:v>
                </c:pt>
                <c:pt idx="5">
                  <c:v>324.85714285714283</c:v>
                </c:pt>
                <c:pt idx="6">
                  <c:v>324.85714285714283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513375"/>
        <c:axId val="1339442863"/>
      </c:lineChart>
      <c:catAx>
        <c:axId val="17695133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442863"/>
        <c:crosses val="autoZero"/>
        <c:auto val="1"/>
        <c:lblAlgn val="ctr"/>
        <c:lblOffset val="100"/>
        <c:noMultiLvlLbl val="0"/>
      </c:catAx>
      <c:valAx>
        <c:axId val="133944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500" b="0" i="0" u="none" strike="noStrike" kern="1200" baseline="0">
                    <a:solidFill>
                      <a:prstClr val="black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500" b="0" i="0" u="none" strike="noStrike" kern="1200" baseline="0">
                  <a:solidFill>
                    <a:prstClr val="black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513375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142876</xdr:rowOff>
    </xdr:from>
    <xdr:to>
      <xdr:col>20</xdr:col>
      <xdr:colOff>466725</xdr:colOff>
      <xdr:row>45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6423DD-260E-4017-95EB-824695267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9</xdr:row>
      <xdr:rowOff>0</xdr:rowOff>
    </xdr:from>
    <xdr:to>
      <xdr:col>18</xdr:col>
      <xdr:colOff>228600</xdr:colOff>
      <xdr:row>40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768674-80C8-4959-B164-45938DAA5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ABFD1-09DE-4851-A5B2-8F92B56385A0}">
  <dimension ref="B2:K2284"/>
  <sheetViews>
    <sheetView topLeftCell="A2241" workbookViewId="0">
      <selection activeCell="J2289" sqref="J2289"/>
    </sheetView>
  </sheetViews>
  <sheetFormatPr defaultRowHeight="14.5" x14ac:dyDescent="0.35"/>
  <cols>
    <col min="2" max="2" width="37.1796875" customWidth="1"/>
    <col min="3" max="3" width="13.453125" customWidth="1"/>
    <col min="4" max="10" width="25.6328125" customWidth="1"/>
    <col min="11" max="11" width="22.26953125" customWidth="1"/>
  </cols>
  <sheetData>
    <row r="2" spans="2:11" x14ac:dyDescent="0.35">
      <c r="D2" s="16" t="s">
        <v>2281</v>
      </c>
      <c r="E2" s="16"/>
      <c r="F2" s="16"/>
      <c r="G2" s="16"/>
      <c r="H2" s="16"/>
      <c r="I2" s="16"/>
      <c r="J2" s="16"/>
    </row>
    <row r="3" spans="2:11" x14ac:dyDescent="0.35">
      <c r="D3" s="1" t="s">
        <v>2297</v>
      </c>
      <c r="E3" s="1" t="s">
        <v>2291</v>
      </c>
      <c r="F3" s="1" t="s">
        <v>2292</v>
      </c>
      <c r="G3" s="1" t="s">
        <v>2293</v>
      </c>
      <c r="H3" s="1" t="s">
        <v>2294</v>
      </c>
      <c r="I3" s="1" t="s">
        <v>2295</v>
      </c>
      <c r="J3" s="2" t="s">
        <v>2296</v>
      </c>
    </row>
    <row r="4" spans="2:11" x14ac:dyDescent="0.35">
      <c r="D4" s="3">
        <f t="shared" ref="D4:J4" si="0">COUNTIF(D11:D2281,"&gt;0")</f>
        <v>1648</v>
      </c>
      <c r="E4" s="3">
        <f t="shared" si="0"/>
        <v>332</v>
      </c>
      <c r="F4" s="3">
        <f t="shared" si="0"/>
        <v>531</v>
      </c>
      <c r="G4" s="3">
        <f t="shared" si="0"/>
        <v>1162</v>
      </c>
      <c r="H4" s="3">
        <f t="shared" si="0"/>
        <v>1660</v>
      </c>
      <c r="I4" s="3">
        <f t="shared" si="0"/>
        <v>2192</v>
      </c>
      <c r="J4" s="3">
        <f t="shared" si="0"/>
        <v>2265</v>
      </c>
    </row>
    <row r="5" spans="2:11" x14ac:dyDescent="0.35">
      <c r="D5" s="3"/>
      <c r="E5" s="3"/>
      <c r="F5" s="3"/>
      <c r="G5" s="3"/>
      <c r="H5" s="3"/>
      <c r="I5" s="3"/>
      <c r="J5" s="3"/>
    </row>
    <row r="6" spans="2:11" x14ac:dyDescent="0.35">
      <c r="D6" s="16" t="s">
        <v>0</v>
      </c>
      <c r="E6" s="16"/>
      <c r="F6" s="16"/>
      <c r="G6" s="16"/>
      <c r="H6" s="16"/>
      <c r="I6" s="16"/>
      <c r="J6" s="16"/>
    </row>
    <row r="7" spans="2:11" x14ac:dyDescent="0.35">
      <c r="D7" s="1" t="s">
        <v>2297</v>
      </c>
      <c r="E7" s="1" t="s">
        <v>2291</v>
      </c>
      <c r="F7" s="1" t="s">
        <v>2292</v>
      </c>
      <c r="G7" s="1" t="s">
        <v>2293</v>
      </c>
      <c r="H7" s="1" t="s">
        <v>2294</v>
      </c>
      <c r="I7" s="1" t="s">
        <v>2295</v>
      </c>
      <c r="J7" s="2" t="s">
        <v>2296</v>
      </c>
    </row>
    <row r="8" spans="2:11" x14ac:dyDescent="0.35">
      <c r="D8" s="4">
        <f t="shared" ref="D8:J8" si="1">SUM(D11:D2281)/2271</f>
        <v>2.1351827388815501</v>
      </c>
      <c r="E8" s="4">
        <f t="shared" si="1"/>
        <v>0.20431527961250551</v>
      </c>
      <c r="F8" s="4">
        <f t="shared" si="1"/>
        <v>0.47776309995596655</v>
      </c>
      <c r="G8" s="4">
        <f t="shared" si="1"/>
        <v>2.4755614266842803</v>
      </c>
      <c r="H8" s="4">
        <f t="shared" si="1"/>
        <v>3.9119330691325409</v>
      </c>
      <c r="I8" s="4">
        <f t="shared" si="1"/>
        <v>10.805372082782915</v>
      </c>
      <c r="J8" s="4">
        <f t="shared" si="1"/>
        <v>15.059445178335535</v>
      </c>
    </row>
    <row r="10" spans="2:11" x14ac:dyDescent="0.35">
      <c r="B10" s="1" t="s">
        <v>2282</v>
      </c>
      <c r="C10" s="1" t="s">
        <v>2283</v>
      </c>
      <c r="D10" s="6" t="s">
        <v>2284</v>
      </c>
      <c r="E10" s="6" t="s">
        <v>2285</v>
      </c>
      <c r="F10" s="6" t="s">
        <v>2286</v>
      </c>
      <c r="G10" s="6" t="s">
        <v>2287</v>
      </c>
      <c r="H10" s="6" t="s">
        <v>2288</v>
      </c>
      <c r="I10" s="6" t="s">
        <v>2289</v>
      </c>
      <c r="J10" s="5" t="s">
        <v>2290</v>
      </c>
      <c r="K10" s="8" t="s">
        <v>2298</v>
      </c>
    </row>
    <row r="11" spans="2:11" x14ac:dyDescent="0.35">
      <c r="B11" t="s">
        <v>10</v>
      </c>
      <c r="C11">
        <v>47</v>
      </c>
      <c r="D11">
        <v>4</v>
      </c>
      <c r="E11">
        <v>0</v>
      </c>
      <c r="F11">
        <v>0</v>
      </c>
      <c r="G11">
        <v>14</v>
      </c>
      <c r="H11">
        <v>7</v>
      </c>
      <c r="I11">
        <v>8</v>
      </c>
      <c r="J11">
        <v>15</v>
      </c>
      <c r="K11">
        <f>COUNTIF(D11:I11, "&gt;0")</f>
        <v>4</v>
      </c>
    </row>
    <row r="12" spans="2:11" x14ac:dyDescent="0.35">
      <c r="B12" t="s">
        <v>11</v>
      </c>
      <c r="C12">
        <v>10</v>
      </c>
      <c r="D12">
        <v>2</v>
      </c>
      <c r="E12">
        <v>0</v>
      </c>
      <c r="F12">
        <v>0</v>
      </c>
      <c r="G12">
        <v>0</v>
      </c>
      <c r="H12">
        <v>0</v>
      </c>
      <c r="I12">
        <v>4</v>
      </c>
      <c r="J12">
        <v>5</v>
      </c>
      <c r="K12">
        <f t="shared" ref="K12:K75" si="2">COUNTIF(D12:I12, "&gt;0")</f>
        <v>2</v>
      </c>
    </row>
    <row r="13" spans="2:11" x14ac:dyDescent="0.35">
      <c r="B13" t="s">
        <v>12</v>
      </c>
      <c r="C13">
        <v>60</v>
      </c>
      <c r="D13">
        <v>7</v>
      </c>
      <c r="E13">
        <v>3</v>
      </c>
      <c r="F13">
        <v>2</v>
      </c>
      <c r="G13">
        <v>2</v>
      </c>
      <c r="H13">
        <v>0</v>
      </c>
      <c r="I13">
        <v>26</v>
      </c>
      <c r="J13">
        <v>21</v>
      </c>
      <c r="K13">
        <f t="shared" si="2"/>
        <v>5</v>
      </c>
    </row>
    <row r="14" spans="2:11" x14ac:dyDescent="0.35">
      <c r="B14" t="s">
        <v>13</v>
      </c>
      <c r="C14">
        <v>6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5</v>
      </c>
      <c r="K14">
        <f t="shared" si="2"/>
        <v>2</v>
      </c>
    </row>
    <row r="15" spans="2:11" x14ac:dyDescent="0.35">
      <c r="B15" t="s">
        <v>14</v>
      </c>
      <c r="C15">
        <v>120</v>
      </c>
      <c r="D15">
        <v>10</v>
      </c>
      <c r="E15">
        <v>1</v>
      </c>
      <c r="F15">
        <v>0</v>
      </c>
      <c r="G15">
        <v>12</v>
      </c>
      <c r="H15">
        <v>20</v>
      </c>
      <c r="I15">
        <v>30</v>
      </c>
      <c r="J15">
        <v>48</v>
      </c>
      <c r="K15">
        <f t="shared" si="2"/>
        <v>5</v>
      </c>
    </row>
    <row r="16" spans="2:11" x14ac:dyDescent="0.35">
      <c r="B16" t="s">
        <v>15</v>
      </c>
      <c r="C16">
        <v>36</v>
      </c>
      <c r="D16">
        <v>2</v>
      </c>
      <c r="E16">
        <v>0</v>
      </c>
      <c r="F16">
        <v>0</v>
      </c>
      <c r="G16">
        <v>3</v>
      </c>
      <c r="H16">
        <v>3</v>
      </c>
      <c r="I16">
        <v>12</v>
      </c>
      <c r="J16">
        <v>17</v>
      </c>
      <c r="K16">
        <f t="shared" si="2"/>
        <v>4</v>
      </c>
    </row>
    <row r="17" spans="2:11" x14ac:dyDescent="0.35">
      <c r="B17" t="s">
        <v>16</v>
      </c>
      <c r="C17">
        <v>107</v>
      </c>
      <c r="D17">
        <v>3</v>
      </c>
      <c r="E17">
        <v>1</v>
      </c>
      <c r="F17">
        <v>5</v>
      </c>
      <c r="G17">
        <v>5</v>
      </c>
      <c r="H17">
        <v>8</v>
      </c>
      <c r="I17">
        <v>29</v>
      </c>
      <c r="J17">
        <v>57</v>
      </c>
      <c r="K17">
        <f t="shared" si="2"/>
        <v>6</v>
      </c>
    </row>
    <row r="18" spans="2:11" x14ac:dyDescent="0.35">
      <c r="B18" t="s">
        <v>17</v>
      </c>
      <c r="C18">
        <v>122</v>
      </c>
      <c r="D18">
        <v>3</v>
      </c>
      <c r="E18">
        <v>0</v>
      </c>
      <c r="F18">
        <v>0</v>
      </c>
      <c r="G18">
        <v>21</v>
      </c>
      <c r="H18">
        <v>19</v>
      </c>
      <c r="I18">
        <v>34</v>
      </c>
      <c r="J18">
        <v>46</v>
      </c>
      <c r="K18">
        <f t="shared" si="2"/>
        <v>4</v>
      </c>
    </row>
    <row r="19" spans="2:11" x14ac:dyDescent="0.35">
      <c r="B19" t="s">
        <v>18</v>
      </c>
      <c r="C19">
        <v>12</v>
      </c>
      <c r="D19">
        <v>2</v>
      </c>
      <c r="E19">
        <v>0</v>
      </c>
      <c r="F19">
        <v>0</v>
      </c>
      <c r="G19">
        <v>3</v>
      </c>
      <c r="H19">
        <v>0</v>
      </c>
      <c r="I19">
        <v>3</v>
      </c>
      <c r="J19">
        <v>5</v>
      </c>
      <c r="K19">
        <f t="shared" si="2"/>
        <v>3</v>
      </c>
    </row>
    <row r="20" spans="2:11" x14ac:dyDescent="0.35">
      <c r="B20" t="s">
        <v>19</v>
      </c>
      <c r="C20">
        <v>12</v>
      </c>
      <c r="D20">
        <v>2</v>
      </c>
      <c r="E20">
        <v>0</v>
      </c>
      <c r="F20">
        <v>0</v>
      </c>
      <c r="G20">
        <v>0</v>
      </c>
      <c r="H20">
        <v>2</v>
      </c>
      <c r="I20">
        <v>2</v>
      </c>
      <c r="J20">
        <v>7</v>
      </c>
      <c r="K20">
        <f t="shared" si="2"/>
        <v>3</v>
      </c>
    </row>
    <row r="21" spans="2:11" x14ac:dyDescent="0.35">
      <c r="B21" t="s">
        <v>20</v>
      </c>
      <c r="C21">
        <v>46</v>
      </c>
      <c r="D21">
        <v>1</v>
      </c>
      <c r="E21">
        <v>0</v>
      </c>
      <c r="F21">
        <v>1</v>
      </c>
      <c r="G21">
        <v>0</v>
      </c>
      <c r="H21">
        <v>3</v>
      </c>
      <c r="I21">
        <v>21</v>
      </c>
      <c r="J21">
        <v>21</v>
      </c>
      <c r="K21">
        <f t="shared" si="2"/>
        <v>4</v>
      </c>
    </row>
    <row r="22" spans="2:11" x14ac:dyDescent="0.35">
      <c r="B22" t="s">
        <v>21</v>
      </c>
      <c r="C22">
        <v>29</v>
      </c>
      <c r="D22">
        <v>0</v>
      </c>
      <c r="E22">
        <v>0</v>
      </c>
      <c r="F22">
        <v>0</v>
      </c>
      <c r="G22">
        <v>0</v>
      </c>
      <c r="H22">
        <v>1</v>
      </c>
      <c r="I22">
        <v>3</v>
      </c>
      <c r="J22">
        <v>26</v>
      </c>
      <c r="K22">
        <f t="shared" si="2"/>
        <v>2</v>
      </c>
    </row>
    <row r="23" spans="2:11" x14ac:dyDescent="0.35">
      <c r="B23" t="s">
        <v>22</v>
      </c>
      <c r="C23">
        <v>37</v>
      </c>
      <c r="D23">
        <v>0</v>
      </c>
      <c r="E23">
        <v>0</v>
      </c>
      <c r="F23">
        <v>0</v>
      </c>
      <c r="G23">
        <v>1</v>
      </c>
      <c r="H23">
        <v>4</v>
      </c>
      <c r="I23">
        <v>2</v>
      </c>
      <c r="J23">
        <v>31</v>
      </c>
      <c r="K23">
        <f t="shared" si="2"/>
        <v>3</v>
      </c>
    </row>
    <row r="24" spans="2:11" x14ac:dyDescent="0.35">
      <c r="B24" t="s">
        <v>23</v>
      </c>
      <c r="C24">
        <v>73</v>
      </c>
      <c r="D24">
        <v>7</v>
      </c>
      <c r="E24">
        <v>1</v>
      </c>
      <c r="F24">
        <v>11</v>
      </c>
      <c r="G24">
        <v>0</v>
      </c>
      <c r="H24">
        <v>1</v>
      </c>
      <c r="I24">
        <v>13</v>
      </c>
      <c r="J24">
        <v>41</v>
      </c>
      <c r="K24">
        <f t="shared" si="2"/>
        <v>5</v>
      </c>
    </row>
    <row r="25" spans="2:11" x14ac:dyDescent="0.35">
      <c r="B25" t="s">
        <v>24</v>
      </c>
      <c r="C25">
        <v>84</v>
      </c>
      <c r="D25">
        <v>7</v>
      </c>
      <c r="E25">
        <v>1</v>
      </c>
      <c r="F25">
        <v>11</v>
      </c>
      <c r="G25">
        <v>4</v>
      </c>
      <c r="H25">
        <v>1</v>
      </c>
      <c r="I25">
        <v>20</v>
      </c>
      <c r="J25">
        <v>41</v>
      </c>
      <c r="K25">
        <f t="shared" si="2"/>
        <v>6</v>
      </c>
    </row>
    <row r="26" spans="2:11" x14ac:dyDescent="0.35">
      <c r="B26" t="s">
        <v>25</v>
      </c>
      <c r="C26">
        <v>20</v>
      </c>
      <c r="D26">
        <v>4</v>
      </c>
      <c r="E26">
        <v>0</v>
      </c>
      <c r="F26">
        <v>0</v>
      </c>
      <c r="G26">
        <v>0</v>
      </c>
      <c r="H26">
        <v>0</v>
      </c>
      <c r="I26">
        <v>3</v>
      </c>
      <c r="J26">
        <v>14</v>
      </c>
      <c r="K26">
        <f t="shared" si="2"/>
        <v>2</v>
      </c>
    </row>
    <row r="27" spans="2:11" x14ac:dyDescent="0.35">
      <c r="B27" t="s">
        <v>26</v>
      </c>
      <c r="C27">
        <v>12</v>
      </c>
      <c r="D27">
        <v>1</v>
      </c>
      <c r="E27">
        <v>0</v>
      </c>
      <c r="F27">
        <v>3</v>
      </c>
      <c r="G27">
        <v>0</v>
      </c>
      <c r="H27">
        <v>0</v>
      </c>
      <c r="I27">
        <v>2</v>
      </c>
      <c r="J27">
        <v>7</v>
      </c>
      <c r="K27">
        <f t="shared" si="2"/>
        <v>3</v>
      </c>
    </row>
    <row r="28" spans="2:11" x14ac:dyDescent="0.35">
      <c r="B28" t="s">
        <v>27</v>
      </c>
      <c r="C28">
        <v>16</v>
      </c>
      <c r="D28">
        <v>0</v>
      </c>
      <c r="E28">
        <v>0</v>
      </c>
      <c r="F28">
        <v>0</v>
      </c>
      <c r="G28">
        <v>3</v>
      </c>
      <c r="H28">
        <v>6</v>
      </c>
      <c r="I28">
        <v>5</v>
      </c>
      <c r="J28">
        <v>3</v>
      </c>
      <c r="K28">
        <f t="shared" si="2"/>
        <v>3</v>
      </c>
    </row>
    <row r="29" spans="2:11" x14ac:dyDescent="0.35">
      <c r="B29" t="s">
        <v>28</v>
      </c>
      <c r="C29">
        <v>5</v>
      </c>
      <c r="D29">
        <v>0</v>
      </c>
      <c r="E29">
        <v>0</v>
      </c>
      <c r="F29">
        <v>0</v>
      </c>
      <c r="G29">
        <v>0</v>
      </c>
      <c r="H29">
        <v>0</v>
      </c>
      <c r="I29">
        <v>2</v>
      </c>
      <c r="J29">
        <v>4</v>
      </c>
      <c r="K29">
        <f t="shared" si="2"/>
        <v>1</v>
      </c>
    </row>
    <row r="30" spans="2:11" x14ac:dyDescent="0.35">
      <c r="B30" t="s">
        <v>29</v>
      </c>
      <c r="C30">
        <v>31</v>
      </c>
      <c r="D30">
        <v>2</v>
      </c>
      <c r="E30">
        <v>1</v>
      </c>
      <c r="F30">
        <v>0</v>
      </c>
      <c r="G30">
        <v>0</v>
      </c>
      <c r="H30">
        <v>1</v>
      </c>
      <c r="I30">
        <v>14</v>
      </c>
      <c r="J30">
        <v>14</v>
      </c>
      <c r="K30">
        <f t="shared" si="2"/>
        <v>4</v>
      </c>
    </row>
    <row r="31" spans="2:11" x14ac:dyDescent="0.35">
      <c r="B31" t="s">
        <v>30</v>
      </c>
      <c r="C31">
        <v>16</v>
      </c>
      <c r="D31">
        <v>0</v>
      </c>
      <c r="E31">
        <v>0</v>
      </c>
      <c r="F31">
        <v>0</v>
      </c>
      <c r="G31">
        <v>2</v>
      </c>
      <c r="H31">
        <v>0</v>
      </c>
      <c r="I31">
        <v>9</v>
      </c>
      <c r="J31">
        <v>6</v>
      </c>
      <c r="K31">
        <f t="shared" si="2"/>
        <v>2</v>
      </c>
    </row>
    <row r="32" spans="2:11" x14ac:dyDescent="0.35">
      <c r="B32" t="s">
        <v>31</v>
      </c>
      <c r="C32">
        <v>15</v>
      </c>
      <c r="D32">
        <v>1</v>
      </c>
      <c r="E32">
        <v>0</v>
      </c>
      <c r="F32">
        <v>0</v>
      </c>
      <c r="G32">
        <v>0</v>
      </c>
      <c r="H32">
        <v>3</v>
      </c>
      <c r="I32">
        <v>2</v>
      </c>
      <c r="J32">
        <v>10</v>
      </c>
      <c r="K32">
        <f t="shared" si="2"/>
        <v>3</v>
      </c>
    </row>
    <row r="33" spans="2:11" x14ac:dyDescent="0.35">
      <c r="B33" t="s">
        <v>32</v>
      </c>
      <c r="C33">
        <v>100</v>
      </c>
      <c r="D33">
        <v>7</v>
      </c>
      <c r="E33">
        <v>0</v>
      </c>
      <c r="F33">
        <v>0</v>
      </c>
      <c r="G33">
        <v>18</v>
      </c>
      <c r="H33">
        <v>3</v>
      </c>
      <c r="I33">
        <v>46</v>
      </c>
      <c r="J33">
        <v>27</v>
      </c>
      <c r="K33">
        <f t="shared" si="2"/>
        <v>4</v>
      </c>
    </row>
    <row r="34" spans="2:11" x14ac:dyDescent="0.35">
      <c r="B34" t="s">
        <v>33</v>
      </c>
      <c r="C34">
        <v>151</v>
      </c>
      <c r="D34">
        <v>4</v>
      </c>
      <c r="E34">
        <v>2</v>
      </c>
      <c r="F34">
        <v>0</v>
      </c>
      <c r="G34">
        <v>0</v>
      </c>
      <c r="H34">
        <v>44</v>
      </c>
      <c r="I34">
        <v>54</v>
      </c>
      <c r="J34">
        <v>48</v>
      </c>
      <c r="K34">
        <f t="shared" si="2"/>
        <v>4</v>
      </c>
    </row>
    <row r="35" spans="2:11" x14ac:dyDescent="0.35">
      <c r="B35" t="s">
        <v>34</v>
      </c>
      <c r="C35">
        <v>26</v>
      </c>
      <c r="D35">
        <v>6</v>
      </c>
      <c r="E35">
        <v>0</v>
      </c>
      <c r="F35">
        <v>0</v>
      </c>
      <c r="G35">
        <v>0</v>
      </c>
      <c r="H35">
        <v>1</v>
      </c>
      <c r="I35">
        <v>7</v>
      </c>
      <c r="J35">
        <v>13</v>
      </c>
      <c r="K35">
        <f t="shared" si="2"/>
        <v>3</v>
      </c>
    </row>
    <row r="36" spans="2:11" x14ac:dyDescent="0.35">
      <c r="B36" t="s">
        <v>35</v>
      </c>
      <c r="C36">
        <v>11</v>
      </c>
      <c r="D36">
        <v>1</v>
      </c>
      <c r="E36">
        <v>0</v>
      </c>
      <c r="F36">
        <v>0</v>
      </c>
      <c r="G36">
        <v>0</v>
      </c>
      <c r="H36">
        <v>1</v>
      </c>
      <c r="I36">
        <v>3</v>
      </c>
      <c r="J36">
        <v>7</v>
      </c>
      <c r="K36">
        <f t="shared" si="2"/>
        <v>3</v>
      </c>
    </row>
    <row r="37" spans="2:11" x14ac:dyDescent="0.35">
      <c r="B37" t="s">
        <v>36</v>
      </c>
      <c r="C37">
        <v>76</v>
      </c>
      <c r="D37">
        <v>13</v>
      </c>
      <c r="E37">
        <v>0</v>
      </c>
      <c r="F37">
        <v>0</v>
      </c>
      <c r="G37">
        <v>2</v>
      </c>
      <c r="H37">
        <v>10</v>
      </c>
      <c r="I37">
        <v>26</v>
      </c>
      <c r="J37">
        <v>26</v>
      </c>
      <c r="K37">
        <f t="shared" si="2"/>
        <v>4</v>
      </c>
    </row>
    <row r="38" spans="2:11" x14ac:dyDescent="0.35">
      <c r="B38" t="s">
        <v>37</v>
      </c>
      <c r="C38">
        <v>29</v>
      </c>
      <c r="D38">
        <v>7</v>
      </c>
      <c r="E38">
        <v>0</v>
      </c>
      <c r="F38">
        <v>0</v>
      </c>
      <c r="G38">
        <v>1</v>
      </c>
      <c r="H38">
        <v>1</v>
      </c>
      <c r="I38">
        <v>9</v>
      </c>
      <c r="J38">
        <v>12</v>
      </c>
      <c r="K38">
        <f t="shared" si="2"/>
        <v>4</v>
      </c>
    </row>
    <row r="39" spans="2:11" x14ac:dyDescent="0.35">
      <c r="B39" t="s">
        <v>38</v>
      </c>
      <c r="C39">
        <v>11</v>
      </c>
      <c r="D39">
        <v>2</v>
      </c>
      <c r="E39">
        <v>0</v>
      </c>
      <c r="F39">
        <v>0</v>
      </c>
      <c r="G39">
        <v>1</v>
      </c>
      <c r="H39">
        <v>1</v>
      </c>
      <c r="I39">
        <v>4</v>
      </c>
      <c r="J39">
        <v>4</v>
      </c>
      <c r="K39">
        <f t="shared" si="2"/>
        <v>4</v>
      </c>
    </row>
    <row r="40" spans="2:11" x14ac:dyDescent="0.35">
      <c r="B40" t="s">
        <v>39</v>
      </c>
      <c r="C40">
        <v>47</v>
      </c>
      <c r="D40">
        <v>1</v>
      </c>
      <c r="E40">
        <v>0</v>
      </c>
      <c r="F40">
        <v>0</v>
      </c>
      <c r="G40">
        <v>0</v>
      </c>
      <c r="H40">
        <v>28</v>
      </c>
      <c r="I40">
        <v>5</v>
      </c>
      <c r="J40">
        <v>14</v>
      </c>
      <c r="K40">
        <f t="shared" si="2"/>
        <v>3</v>
      </c>
    </row>
    <row r="41" spans="2:11" x14ac:dyDescent="0.35">
      <c r="B41" t="s">
        <v>40</v>
      </c>
      <c r="C41">
        <v>35</v>
      </c>
      <c r="D41">
        <v>4</v>
      </c>
      <c r="E41">
        <v>1</v>
      </c>
      <c r="F41">
        <v>0</v>
      </c>
      <c r="G41">
        <v>3</v>
      </c>
      <c r="H41">
        <v>2</v>
      </c>
      <c r="I41">
        <v>10</v>
      </c>
      <c r="J41">
        <v>16</v>
      </c>
      <c r="K41">
        <f t="shared" si="2"/>
        <v>5</v>
      </c>
    </row>
    <row r="42" spans="2:11" x14ac:dyDescent="0.35">
      <c r="B42" t="s">
        <v>41</v>
      </c>
      <c r="C42">
        <v>17</v>
      </c>
      <c r="D42">
        <v>3</v>
      </c>
      <c r="E42">
        <v>0</v>
      </c>
      <c r="F42">
        <v>0</v>
      </c>
      <c r="G42">
        <v>0</v>
      </c>
      <c r="H42">
        <v>2</v>
      </c>
      <c r="I42">
        <v>8</v>
      </c>
      <c r="J42">
        <v>5</v>
      </c>
      <c r="K42">
        <f t="shared" si="2"/>
        <v>3</v>
      </c>
    </row>
    <row r="43" spans="2:11" x14ac:dyDescent="0.35">
      <c r="B43" t="s">
        <v>42</v>
      </c>
      <c r="C43">
        <v>6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3</v>
      </c>
      <c r="K43">
        <f t="shared" si="2"/>
        <v>1</v>
      </c>
    </row>
    <row r="44" spans="2:11" x14ac:dyDescent="0.35">
      <c r="B44" t="s">
        <v>43</v>
      </c>
      <c r="C44">
        <v>41</v>
      </c>
      <c r="D44">
        <v>5</v>
      </c>
      <c r="E44">
        <v>0</v>
      </c>
      <c r="F44">
        <v>1</v>
      </c>
      <c r="G44">
        <v>7</v>
      </c>
      <c r="H44">
        <v>5</v>
      </c>
      <c r="I44">
        <v>5</v>
      </c>
      <c r="J44">
        <v>19</v>
      </c>
      <c r="K44">
        <f t="shared" si="2"/>
        <v>5</v>
      </c>
    </row>
    <row r="45" spans="2:11" x14ac:dyDescent="0.35">
      <c r="B45" t="s">
        <v>44</v>
      </c>
      <c r="C45">
        <v>8</v>
      </c>
      <c r="D45">
        <v>1</v>
      </c>
      <c r="E45">
        <v>0</v>
      </c>
      <c r="F45">
        <v>0</v>
      </c>
      <c r="G45">
        <v>1</v>
      </c>
      <c r="H45">
        <v>0</v>
      </c>
      <c r="I45">
        <v>3</v>
      </c>
      <c r="J45">
        <v>4</v>
      </c>
      <c r="K45">
        <f t="shared" si="2"/>
        <v>3</v>
      </c>
    </row>
    <row r="46" spans="2:11" x14ac:dyDescent="0.35">
      <c r="B46" t="s">
        <v>45</v>
      </c>
      <c r="C46">
        <v>11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10</v>
      </c>
      <c r="K46">
        <f t="shared" si="2"/>
        <v>2</v>
      </c>
    </row>
    <row r="47" spans="2:11" x14ac:dyDescent="0.35">
      <c r="B47" t="s">
        <v>46</v>
      </c>
      <c r="C47">
        <v>40</v>
      </c>
      <c r="D47">
        <v>2</v>
      </c>
      <c r="E47">
        <v>0</v>
      </c>
      <c r="F47">
        <v>0</v>
      </c>
      <c r="G47">
        <v>12</v>
      </c>
      <c r="H47">
        <v>5</v>
      </c>
      <c r="I47">
        <v>5</v>
      </c>
      <c r="J47">
        <v>17</v>
      </c>
      <c r="K47">
        <f t="shared" si="2"/>
        <v>4</v>
      </c>
    </row>
    <row r="48" spans="2:11" x14ac:dyDescent="0.35">
      <c r="B48" t="s">
        <v>47</v>
      </c>
      <c r="C48">
        <v>74</v>
      </c>
      <c r="D48">
        <v>2</v>
      </c>
      <c r="E48">
        <v>2</v>
      </c>
      <c r="F48">
        <v>0</v>
      </c>
      <c r="G48">
        <v>8</v>
      </c>
      <c r="H48">
        <v>6</v>
      </c>
      <c r="I48">
        <v>21</v>
      </c>
      <c r="J48">
        <v>36</v>
      </c>
      <c r="K48">
        <f t="shared" si="2"/>
        <v>5</v>
      </c>
    </row>
    <row r="49" spans="2:11" x14ac:dyDescent="0.35">
      <c r="B49" t="s">
        <v>48</v>
      </c>
      <c r="C49">
        <v>31</v>
      </c>
      <c r="D49">
        <v>0</v>
      </c>
      <c r="E49">
        <v>0</v>
      </c>
      <c r="F49">
        <v>0</v>
      </c>
      <c r="G49">
        <v>0</v>
      </c>
      <c r="H49">
        <v>3</v>
      </c>
      <c r="I49">
        <v>2</v>
      </c>
      <c r="J49">
        <v>27</v>
      </c>
      <c r="K49">
        <f t="shared" si="2"/>
        <v>2</v>
      </c>
    </row>
    <row r="50" spans="2:11" x14ac:dyDescent="0.35">
      <c r="B50" t="s">
        <v>49</v>
      </c>
      <c r="C50">
        <v>27</v>
      </c>
      <c r="D50">
        <v>1</v>
      </c>
      <c r="E50">
        <v>0</v>
      </c>
      <c r="F50">
        <v>1</v>
      </c>
      <c r="G50">
        <v>2</v>
      </c>
      <c r="H50">
        <v>2</v>
      </c>
      <c r="I50">
        <v>4</v>
      </c>
      <c r="J50">
        <v>18</v>
      </c>
      <c r="K50">
        <f t="shared" si="2"/>
        <v>5</v>
      </c>
    </row>
    <row r="51" spans="2:11" x14ac:dyDescent="0.35">
      <c r="B51" t="s">
        <v>50</v>
      </c>
      <c r="C51">
        <v>92</v>
      </c>
      <c r="D51">
        <v>0</v>
      </c>
      <c r="E51">
        <v>0</v>
      </c>
      <c r="F51">
        <v>14</v>
      </c>
      <c r="G51">
        <v>5</v>
      </c>
      <c r="H51">
        <v>19</v>
      </c>
      <c r="I51">
        <v>19</v>
      </c>
      <c r="J51">
        <v>36</v>
      </c>
      <c r="K51">
        <f t="shared" si="2"/>
        <v>4</v>
      </c>
    </row>
    <row r="52" spans="2:11" x14ac:dyDescent="0.35">
      <c r="B52" t="s">
        <v>51</v>
      </c>
      <c r="C52">
        <v>97</v>
      </c>
      <c r="D52">
        <v>1</v>
      </c>
      <c r="E52">
        <v>0</v>
      </c>
      <c r="F52">
        <v>14</v>
      </c>
      <c r="G52">
        <v>16</v>
      </c>
      <c r="H52">
        <v>10</v>
      </c>
      <c r="I52">
        <v>13</v>
      </c>
      <c r="J52">
        <v>44</v>
      </c>
      <c r="K52">
        <f t="shared" si="2"/>
        <v>5</v>
      </c>
    </row>
    <row r="53" spans="2:11" x14ac:dyDescent="0.35">
      <c r="B53" t="s">
        <v>52</v>
      </c>
      <c r="C53">
        <v>71</v>
      </c>
      <c r="D53">
        <v>1</v>
      </c>
      <c r="E53">
        <v>0</v>
      </c>
      <c r="F53">
        <v>0</v>
      </c>
      <c r="G53">
        <v>18</v>
      </c>
      <c r="H53">
        <v>13</v>
      </c>
      <c r="I53">
        <v>24</v>
      </c>
      <c r="J53">
        <v>16</v>
      </c>
      <c r="K53">
        <f t="shared" si="2"/>
        <v>4</v>
      </c>
    </row>
    <row r="54" spans="2:11" x14ac:dyDescent="0.35">
      <c r="B54" t="s">
        <v>53</v>
      </c>
      <c r="C54">
        <v>14</v>
      </c>
      <c r="D54">
        <v>1</v>
      </c>
      <c r="E54">
        <v>0</v>
      </c>
      <c r="F54">
        <v>0</v>
      </c>
      <c r="G54">
        <v>1</v>
      </c>
      <c r="H54">
        <v>0</v>
      </c>
      <c r="I54">
        <v>5</v>
      </c>
      <c r="J54">
        <v>8</v>
      </c>
      <c r="K54">
        <f t="shared" si="2"/>
        <v>3</v>
      </c>
    </row>
    <row r="55" spans="2:11" x14ac:dyDescent="0.35">
      <c r="B55" t="s">
        <v>54</v>
      </c>
      <c r="C55">
        <v>28</v>
      </c>
      <c r="D55">
        <v>1</v>
      </c>
      <c r="E55">
        <v>0</v>
      </c>
      <c r="F55">
        <v>1</v>
      </c>
      <c r="G55">
        <v>0</v>
      </c>
      <c r="H55">
        <v>3</v>
      </c>
      <c r="I55">
        <v>2</v>
      </c>
      <c r="J55">
        <v>22</v>
      </c>
      <c r="K55">
        <f t="shared" si="2"/>
        <v>4</v>
      </c>
    </row>
    <row r="56" spans="2:11" x14ac:dyDescent="0.35">
      <c r="B56" t="s">
        <v>55</v>
      </c>
      <c r="C56">
        <v>49</v>
      </c>
      <c r="D56">
        <v>3</v>
      </c>
      <c r="E56">
        <v>0</v>
      </c>
      <c r="F56">
        <v>1</v>
      </c>
      <c r="G56">
        <v>20</v>
      </c>
      <c r="H56">
        <v>4</v>
      </c>
      <c r="I56">
        <v>6</v>
      </c>
      <c r="J56">
        <v>16</v>
      </c>
      <c r="K56">
        <f t="shared" si="2"/>
        <v>5</v>
      </c>
    </row>
    <row r="57" spans="2:11" x14ac:dyDescent="0.35">
      <c r="B57" t="s">
        <v>56</v>
      </c>
      <c r="C57">
        <v>14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15</v>
      </c>
      <c r="K57">
        <f t="shared" si="2"/>
        <v>0</v>
      </c>
    </row>
    <row r="58" spans="2:11" x14ac:dyDescent="0.35">
      <c r="B58" t="s">
        <v>57</v>
      </c>
      <c r="C58">
        <v>58</v>
      </c>
      <c r="D58">
        <v>2</v>
      </c>
      <c r="E58">
        <v>0</v>
      </c>
      <c r="F58">
        <v>0</v>
      </c>
      <c r="G58">
        <v>10</v>
      </c>
      <c r="H58">
        <v>3</v>
      </c>
      <c r="I58">
        <v>18</v>
      </c>
      <c r="J58">
        <v>26</v>
      </c>
      <c r="K58">
        <f t="shared" si="2"/>
        <v>4</v>
      </c>
    </row>
    <row r="59" spans="2:11" x14ac:dyDescent="0.35">
      <c r="B59" t="s">
        <v>58</v>
      </c>
      <c r="C59">
        <v>32</v>
      </c>
      <c r="D59">
        <v>1</v>
      </c>
      <c r="E59">
        <v>0</v>
      </c>
      <c r="F59">
        <v>0</v>
      </c>
      <c r="G59">
        <v>0</v>
      </c>
      <c r="H59">
        <v>5</v>
      </c>
      <c r="I59">
        <v>8</v>
      </c>
      <c r="J59">
        <v>19</v>
      </c>
      <c r="K59">
        <f t="shared" si="2"/>
        <v>3</v>
      </c>
    </row>
    <row r="60" spans="2:11" x14ac:dyDescent="0.35">
      <c r="B60" t="s">
        <v>59</v>
      </c>
      <c r="C60">
        <v>30</v>
      </c>
      <c r="D60">
        <v>5</v>
      </c>
      <c r="E60">
        <v>1</v>
      </c>
      <c r="F60">
        <v>1</v>
      </c>
      <c r="G60">
        <v>1</v>
      </c>
      <c r="H60">
        <v>1</v>
      </c>
      <c r="I60">
        <v>3</v>
      </c>
      <c r="J60">
        <v>19</v>
      </c>
      <c r="K60">
        <f t="shared" si="2"/>
        <v>6</v>
      </c>
    </row>
    <row r="61" spans="2:11" x14ac:dyDescent="0.35">
      <c r="B61" t="s">
        <v>60</v>
      </c>
      <c r="C61">
        <v>32</v>
      </c>
      <c r="D61">
        <v>1</v>
      </c>
      <c r="E61">
        <v>0</v>
      </c>
      <c r="F61">
        <v>0</v>
      </c>
      <c r="G61">
        <v>7</v>
      </c>
      <c r="H61">
        <v>4</v>
      </c>
      <c r="I61">
        <v>11</v>
      </c>
      <c r="J61">
        <v>10</v>
      </c>
      <c r="K61">
        <f t="shared" si="2"/>
        <v>4</v>
      </c>
    </row>
    <row r="62" spans="2:11" x14ac:dyDescent="0.35">
      <c r="B62" t="s">
        <v>61</v>
      </c>
      <c r="C62">
        <v>18</v>
      </c>
      <c r="D62">
        <v>1</v>
      </c>
      <c r="E62">
        <v>0</v>
      </c>
      <c r="F62">
        <v>1</v>
      </c>
      <c r="G62">
        <v>0</v>
      </c>
      <c r="H62">
        <v>2</v>
      </c>
      <c r="I62">
        <v>5</v>
      </c>
      <c r="J62">
        <v>10</v>
      </c>
      <c r="K62">
        <f t="shared" si="2"/>
        <v>4</v>
      </c>
    </row>
    <row r="63" spans="2:11" x14ac:dyDescent="0.35">
      <c r="B63" t="s">
        <v>62</v>
      </c>
      <c r="C63">
        <v>21</v>
      </c>
      <c r="D63">
        <v>2</v>
      </c>
      <c r="E63">
        <v>0</v>
      </c>
      <c r="F63">
        <v>0</v>
      </c>
      <c r="G63">
        <v>6</v>
      </c>
      <c r="H63">
        <v>1</v>
      </c>
      <c r="I63">
        <v>9</v>
      </c>
      <c r="J63">
        <v>4</v>
      </c>
      <c r="K63">
        <f t="shared" si="2"/>
        <v>4</v>
      </c>
    </row>
    <row r="64" spans="2:11" x14ac:dyDescent="0.35">
      <c r="B64" t="s">
        <v>63</v>
      </c>
      <c r="C64">
        <v>16</v>
      </c>
      <c r="D64">
        <v>2</v>
      </c>
      <c r="E64">
        <v>0</v>
      </c>
      <c r="F64">
        <v>0</v>
      </c>
      <c r="G64">
        <v>0</v>
      </c>
      <c r="H64">
        <v>1</v>
      </c>
      <c r="I64">
        <v>6</v>
      </c>
      <c r="J64">
        <v>8</v>
      </c>
      <c r="K64">
        <f t="shared" si="2"/>
        <v>3</v>
      </c>
    </row>
    <row r="65" spans="2:11" x14ac:dyDescent="0.35">
      <c r="B65" t="s">
        <v>64</v>
      </c>
      <c r="C65">
        <v>25</v>
      </c>
      <c r="D65">
        <v>2</v>
      </c>
      <c r="E65">
        <v>0</v>
      </c>
      <c r="F65">
        <v>0</v>
      </c>
      <c r="G65">
        <v>0</v>
      </c>
      <c r="H65">
        <v>1</v>
      </c>
      <c r="I65">
        <v>5</v>
      </c>
      <c r="J65">
        <v>18</v>
      </c>
      <c r="K65">
        <f t="shared" si="2"/>
        <v>3</v>
      </c>
    </row>
    <row r="66" spans="2:11" x14ac:dyDescent="0.35">
      <c r="B66" t="s">
        <v>65</v>
      </c>
      <c r="C66">
        <v>135</v>
      </c>
      <c r="D66">
        <v>1</v>
      </c>
      <c r="E66">
        <v>1</v>
      </c>
      <c r="F66">
        <v>1</v>
      </c>
      <c r="G66">
        <v>1</v>
      </c>
      <c r="H66">
        <v>11</v>
      </c>
      <c r="I66">
        <v>30</v>
      </c>
      <c r="J66">
        <v>91</v>
      </c>
      <c r="K66">
        <f t="shared" si="2"/>
        <v>6</v>
      </c>
    </row>
    <row r="67" spans="2:11" x14ac:dyDescent="0.35">
      <c r="B67" t="s">
        <v>66</v>
      </c>
      <c r="C67">
        <v>20</v>
      </c>
      <c r="D67">
        <v>0</v>
      </c>
      <c r="E67">
        <v>0</v>
      </c>
      <c r="F67">
        <v>0</v>
      </c>
      <c r="G67">
        <v>0</v>
      </c>
      <c r="H67">
        <v>1</v>
      </c>
      <c r="I67">
        <v>9</v>
      </c>
      <c r="J67">
        <v>11</v>
      </c>
      <c r="K67">
        <f t="shared" si="2"/>
        <v>2</v>
      </c>
    </row>
    <row r="68" spans="2:11" x14ac:dyDescent="0.35">
      <c r="B68" t="s">
        <v>67</v>
      </c>
      <c r="C68">
        <v>26</v>
      </c>
      <c r="D68">
        <v>0</v>
      </c>
      <c r="E68">
        <v>1</v>
      </c>
      <c r="F68">
        <v>1</v>
      </c>
      <c r="G68">
        <v>0</v>
      </c>
      <c r="H68">
        <v>8</v>
      </c>
      <c r="I68">
        <v>10</v>
      </c>
      <c r="J68">
        <v>7</v>
      </c>
      <c r="K68">
        <f t="shared" si="2"/>
        <v>4</v>
      </c>
    </row>
    <row r="69" spans="2:11" x14ac:dyDescent="0.35">
      <c r="B69" t="s">
        <v>68</v>
      </c>
      <c r="C69">
        <v>55</v>
      </c>
      <c r="D69">
        <v>2</v>
      </c>
      <c r="E69">
        <v>0</v>
      </c>
      <c r="F69">
        <v>0</v>
      </c>
      <c r="G69">
        <v>2</v>
      </c>
      <c r="H69">
        <v>23</v>
      </c>
      <c r="I69">
        <v>8</v>
      </c>
      <c r="J69">
        <v>21</v>
      </c>
      <c r="K69">
        <f t="shared" si="2"/>
        <v>4</v>
      </c>
    </row>
    <row r="70" spans="2:11" x14ac:dyDescent="0.35">
      <c r="B70" t="s">
        <v>69</v>
      </c>
      <c r="C70">
        <v>54</v>
      </c>
      <c r="D70">
        <v>1</v>
      </c>
      <c r="E70">
        <v>0</v>
      </c>
      <c r="F70">
        <v>0</v>
      </c>
      <c r="G70">
        <v>2</v>
      </c>
      <c r="H70">
        <v>6</v>
      </c>
      <c r="I70">
        <v>18</v>
      </c>
      <c r="J70">
        <v>28</v>
      </c>
      <c r="K70">
        <f t="shared" si="2"/>
        <v>4</v>
      </c>
    </row>
    <row r="71" spans="2:11" x14ac:dyDescent="0.35">
      <c r="B71" t="s">
        <v>70</v>
      </c>
      <c r="C71">
        <v>43</v>
      </c>
      <c r="D71">
        <v>5</v>
      </c>
      <c r="E71">
        <v>1</v>
      </c>
      <c r="F71">
        <v>0</v>
      </c>
      <c r="G71">
        <v>0</v>
      </c>
      <c r="H71">
        <v>3</v>
      </c>
      <c r="I71">
        <v>5</v>
      </c>
      <c r="J71">
        <v>30</v>
      </c>
      <c r="K71">
        <f t="shared" si="2"/>
        <v>4</v>
      </c>
    </row>
    <row r="72" spans="2:11" x14ac:dyDescent="0.35">
      <c r="B72" t="s">
        <v>71</v>
      </c>
      <c r="C72">
        <v>24</v>
      </c>
      <c r="D72">
        <v>4</v>
      </c>
      <c r="E72">
        <v>2</v>
      </c>
      <c r="F72">
        <v>1</v>
      </c>
      <c r="G72">
        <v>0</v>
      </c>
      <c r="H72">
        <v>0</v>
      </c>
      <c r="I72">
        <v>3</v>
      </c>
      <c r="J72">
        <v>15</v>
      </c>
      <c r="K72">
        <f t="shared" si="2"/>
        <v>4</v>
      </c>
    </row>
    <row r="73" spans="2:11" x14ac:dyDescent="0.35">
      <c r="B73" t="s">
        <v>72</v>
      </c>
      <c r="C73">
        <v>7</v>
      </c>
      <c r="D73">
        <v>0</v>
      </c>
      <c r="E73">
        <v>0</v>
      </c>
      <c r="F73">
        <v>0</v>
      </c>
      <c r="G73">
        <v>0</v>
      </c>
      <c r="H73">
        <v>0</v>
      </c>
      <c r="I73">
        <v>4</v>
      </c>
      <c r="J73">
        <v>4</v>
      </c>
      <c r="K73">
        <f t="shared" si="2"/>
        <v>1</v>
      </c>
    </row>
    <row r="74" spans="2:11" x14ac:dyDescent="0.35">
      <c r="B74" t="s">
        <v>73</v>
      </c>
      <c r="C74">
        <v>80</v>
      </c>
      <c r="D74">
        <v>5</v>
      </c>
      <c r="E74">
        <v>1</v>
      </c>
      <c r="F74">
        <v>0</v>
      </c>
      <c r="G74">
        <v>3</v>
      </c>
      <c r="H74">
        <v>11</v>
      </c>
      <c r="I74">
        <v>27</v>
      </c>
      <c r="J74">
        <v>34</v>
      </c>
      <c r="K74">
        <f t="shared" si="2"/>
        <v>5</v>
      </c>
    </row>
    <row r="75" spans="2:11" x14ac:dyDescent="0.35">
      <c r="B75" t="s">
        <v>74</v>
      </c>
      <c r="C75">
        <v>41</v>
      </c>
      <c r="D75">
        <v>1</v>
      </c>
      <c r="E75">
        <v>0</v>
      </c>
      <c r="F75">
        <v>0</v>
      </c>
      <c r="G75">
        <v>4</v>
      </c>
      <c r="H75">
        <v>4</v>
      </c>
      <c r="I75">
        <v>21</v>
      </c>
      <c r="J75">
        <v>12</v>
      </c>
      <c r="K75">
        <f t="shared" si="2"/>
        <v>4</v>
      </c>
    </row>
    <row r="76" spans="2:11" x14ac:dyDescent="0.35">
      <c r="B76" t="s">
        <v>75</v>
      </c>
      <c r="C76">
        <v>13</v>
      </c>
      <c r="D76">
        <v>6</v>
      </c>
      <c r="E76">
        <v>0</v>
      </c>
      <c r="F76">
        <v>0</v>
      </c>
      <c r="G76">
        <v>0</v>
      </c>
      <c r="H76">
        <v>0</v>
      </c>
      <c r="I76">
        <v>4</v>
      </c>
      <c r="J76">
        <v>4</v>
      </c>
      <c r="K76">
        <f t="shared" ref="K76:K139" si="3">COUNTIF(D76:I76, "&gt;0")</f>
        <v>2</v>
      </c>
    </row>
    <row r="77" spans="2:11" x14ac:dyDescent="0.35">
      <c r="B77" t="s">
        <v>76</v>
      </c>
      <c r="C77">
        <v>8</v>
      </c>
      <c r="D77">
        <v>0</v>
      </c>
      <c r="E77">
        <v>0</v>
      </c>
      <c r="F77">
        <v>2</v>
      </c>
      <c r="G77">
        <v>0</v>
      </c>
      <c r="H77">
        <v>0</v>
      </c>
      <c r="I77">
        <v>5</v>
      </c>
      <c r="J77">
        <v>2</v>
      </c>
      <c r="K77">
        <f t="shared" si="3"/>
        <v>2</v>
      </c>
    </row>
    <row r="78" spans="2:11" x14ac:dyDescent="0.35">
      <c r="B78" t="s">
        <v>77</v>
      </c>
      <c r="C78">
        <v>77</v>
      </c>
      <c r="D78">
        <v>1</v>
      </c>
      <c r="E78">
        <v>0</v>
      </c>
      <c r="F78">
        <v>0</v>
      </c>
      <c r="G78">
        <v>4</v>
      </c>
      <c r="H78">
        <v>12</v>
      </c>
      <c r="I78">
        <v>45</v>
      </c>
      <c r="J78">
        <v>16</v>
      </c>
      <c r="K78">
        <f t="shared" si="3"/>
        <v>4</v>
      </c>
    </row>
    <row r="79" spans="2:11" x14ac:dyDescent="0.35">
      <c r="B79" t="s">
        <v>78</v>
      </c>
      <c r="C79">
        <v>6</v>
      </c>
      <c r="D79">
        <v>0</v>
      </c>
      <c r="E79">
        <v>0</v>
      </c>
      <c r="F79">
        <v>0</v>
      </c>
      <c r="G79">
        <v>0</v>
      </c>
      <c r="H79">
        <v>0</v>
      </c>
      <c r="I79">
        <v>5</v>
      </c>
      <c r="J79">
        <v>2</v>
      </c>
      <c r="K79">
        <f t="shared" si="3"/>
        <v>1</v>
      </c>
    </row>
    <row r="80" spans="2:11" x14ac:dyDescent="0.35">
      <c r="B80" t="s">
        <v>79</v>
      </c>
      <c r="C80">
        <v>6</v>
      </c>
      <c r="D80">
        <v>0</v>
      </c>
      <c r="E80">
        <v>0</v>
      </c>
      <c r="F80">
        <v>0</v>
      </c>
      <c r="G80">
        <v>0</v>
      </c>
      <c r="H80">
        <v>0</v>
      </c>
      <c r="I80">
        <v>5</v>
      </c>
      <c r="J80">
        <v>2</v>
      </c>
      <c r="K80">
        <f t="shared" si="3"/>
        <v>1</v>
      </c>
    </row>
    <row r="81" spans="2:11" x14ac:dyDescent="0.35">
      <c r="B81" t="s">
        <v>80</v>
      </c>
      <c r="C81">
        <v>14</v>
      </c>
      <c r="D81">
        <v>6</v>
      </c>
      <c r="E81">
        <v>0</v>
      </c>
      <c r="F81">
        <v>0</v>
      </c>
      <c r="G81">
        <v>0</v>
      </c>
      <c r="H81">
        <v>1</v>
      </c>
      <c r="I81">
        <v>4</v>
      </c>
      <c r="J81">
        <v>4</v>
      </c>
      <c r="K81">
        <f t="shared" si="3"/>
        <v>3</v>
      </c>
    </row>
    <row r="82" spans="2:11" x14ac:dyDescent="0.35">
      <c r="B82" t="s">
        <v>81</v>
      </c>
      <c r="C82">
        <v>10</v>
      </c>
      <c r="D82">
        <v>0</v>
      </c>
      <c r="E82">
        <v>0</v>
      </c>
      <c r="F82">
        <v>2</v>
      </c>
      <c r="G82">
        <v>0</v>
      </c>
      <c r="H82">
        <v>1</v>
      </c>
      <c r="I82">
        <v>5</v>
      </c>
      <c r="J82">
        <v>3</v>
      </c>
      <c r="K82">
        <f t="shared" si="3"/>
        <v>3</v>
      </c>
    </row>
    <row r="83" spans="2:11" x14ac:dyDescent="0.35">
      <c r="B83" t="s">
        <v>82</v>
      </c>
      <c r="C83">
        <v>20</v>
      </c>
      <c r="D83">
        <v>7</v>
      </c>
      <c r="E83">
        <v>0</v>
      </c>
      <c r="F83">
        <v>0</v>
      </c>
      <c r="G83">
        <v>2</v>
      </c>
      <c r="H83">
        <v>0</v>
      </c>
      <c r="I83">
        <v>5</v>
      </c>
      <c r="J83">
        <v>7</v>
      </c>
      <c r="K83">
        <f t="shared" si="3"/>
        <v>3</v>
      </c>
    </row>
    <row r="84" spans="2:11" x14ac:dyDescent="0.35">
      <c r="B84" t="s">
        <v>83</v>
      </c>
      <c r="C84">
        <v>56</v>
      </c>
      <c r="D84">
        <v>1</v>
      </c>
      <c r="E84">
        <v>0</v>
      </c>
      <c r="F84">
        <v>0</v>
      </c>
      <c r="G84">
        <v>24</v>
      </c>
      <c r="H84">
        <v>2</v>
      </c>
      <c r="I84">
        <v>17</v>
      </c>
      <c r="J84">
        <v>13</v>
      </c>
      <c r="K84">
        <f t="shared" si="3"/>
        <v>4</v>
      </c>
    </row>
    <row r="85" spans="2:11" x14ac:dyDescent="0.35">
      <c r="B85" t="s">
        <v>84</v>
      </c>
      <c r="C85">
        <v>39</v>
      </c>
      <c r="D85">
        <v>3</v>
      </c>
      <c r="E85">
        <v>0</v>
      </c>
      <c r="F85">
        <v>0</v>
      </c>
      <c r="G85">
        <v>0</v>
      </c>
      <c r="H85">
        <v>14</v>
      </c>
      <c r="I85">
        <v>7</v>
      </c>
      <c r="J85">
        <v>16</v>
      </c>
      <c r="K85">
        <f t="shared" si="3"/>
        <v>3</v>
      </c>
    </row>
    <row r="86" spans="2:11" x14ac:dyDescent="0.35">
      <c r="B86" t="s">
        <v>85</v>
      </c>
      <c r="C86">
        <v>16</v>
      </c>
      <c r="D86">
        <v>0</v>
      </c>
      <c r="E86">
        <v>0</v>
      </c>
      <c r="F86">
        <v>0</v>
      </c>
      <c r="G86">
        <v>1</v>
      </c>
      <c r="H86">
        <v>2</v>
      </c>
      <c r="I86">
        <v>10</v>
      </c>
      <c r="J86">
        <v>4</v>
      </c>
      <c r="K86">
        <f t="shared" si="3"/>
        <v>3</v>
      </c>
    </row>
    <row r="87" spans="2:11" x14ac:dyDescent="0.35">
      <c r="B87" t="s">
        <v>86</v>
      </c>
      <c r="C87">
        <v>3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J87">
        <v>2</v>
      </c>
      <c r="K87">
        <f t="shared" si="3"/>
        <v>2</v>
      </c>
    </row>
    <row r="88" spans="2:11" x14ac:dyDescent="0.35">
      <c r="B88" t="s">
        <v>87</v>
      </c>
      <c r="C88">
        <v>57</v>
      </c>
      <c r="D88">
        <v>2</v>
      </c>
      <c r="E88">
        <v>0</v>
      </c>
      <c r="F88">
        <v>0</v>
      </c>
      <c r="G88">
        <v>1</v>
      </c>
      <c r="H88">
        <v>8</v>
      </c>
      <c r="I88">
        <v>14</v>
      </c>
      <c r="J88">
        <v>33</v>
      </c>
      <c r="K88">
        <f t="shared" si="3"/>
        <v>4</v>
      </c>
    </row>
    <row r="89" spans="2:11" x14ac:dyDescent="0.35">
      <c r="B89" t="s">
        <v>88</v>
      </c>
      <c r="C89">
        <v>18</v>
      </c>
      <c r="D89">
        <v>1</v>
      </c>
      <c r="E89">
        <v>0</v>
      </c>
      <c r="F89">
        <v>0</v>
      </c>
      <c r="G89">
        <v>0</v>
      </c>
      <c r="H89">
        <v>0</v>
      </c>
      <c r="I89">
        <v>1</v>
      </c>
      <c r="J89">
        <v>17</v>
      </c>
      <c r="K89">
        <f t="shared" si="3"/>
        <v>2</v>
      </c>
    </row>
    <row r="90" spans="2:11" x14ac:dyDescent="0.35">
      <c r="B90" t="s">
        <v>89</v>
      </c>
      <c r="C90">
        <v>9</v>
      </c>
      <c r="D90">
        <v>2</v>
      </c>
      <c r="E90">
        <v>0</v>
      </c>
      <c r="F90">
        <v>1</v>
      </c>
      <c r="G90">
        <v>0</v>
      </c>
      <c r="H90">
        <v>1</v>
      </c>
      <c r="I90">
        <v>4</v>
      </c>
      <c r="J90">
        <v>2</v>
      </c>
      <c r="K90">
        <f t="shared" si="3"/>
        <v>4</v>
      </c>
    </row>
    <row r="91" spans="2:11" x14ac:dyDescent="0.35">
      <c r="B91" t="s">
        <v>90</v>
      </c>
      <c r="C91">
        <v>23</v>
      </c>
      <c r="D91">
        <v>1</v>
      </c>
      <c r="E91">
        <v>0</v>
      </c>
      <c r="F91">
        <v>0</v>
      </c>
      <c r="G91">
        <v>0</v>
      </c>
      <c r="H91">
        <v>5</v>
      </c>
      <c r="I91">
        <v>6</v>
      </c>
      <c r="J91">
        <v>12</v>
      </c>
      <c r="K91">
        <f t="shared" si="3"/>
        <v>3</v>
      </c>
    </row>
    <row r="92" spans="2:11" x14ac:dyDescent="0.35">
      <c r="B92" t="s">
        <v>91</v>
      </c>
      <c r="C92">
        <v>16</v>
      </c>
      <c r="D92">
        <v>0</v>
      </c>
      <c r="E92">
        <v>0</v>
      </c>
      <c r="F92">
        <v>0</v>
      </c>
      <c r="G92">
        <v>0</v>
      </c>
      <c r="H92">
        <v>3</v>
      </c>
      <c r="I92">
        <v>2</v>
      </c>
      <c r="J92">
        <v>12</v>
      </c>
      <c r="K92">
        <f t="shared" si="3"/>
        <v>2</v>
      </c>
    </row>
    <row r="93" spans="2:11" x14ac:dyDescent="0.35">
      <c r="B93" t="s">
        <v>92</v>
      </c>
      <c r="C93">
        <v>64</v>
      </c>
      <c r="D93">
        <v>4</v>
      </c>
      <c r="E93">
        <v>0</v>
      </c>
      <c r="F93">
        <v>2</v>
      </c>
      <c r="G93">
        <v>2</v>
      </c>
      <c r="H93">
        <v>5</v>
      </c>
      <c r="I93">
        <v>32</v>
      </c>
      <c r="J93">
        <v>20</v>
      </c>
      <c r="K93">
        <f t="shared" si="3"/>
        <v>5</v>
      </c>
    </row>
    <row r="94" spans="2:11" x14ac:dyDescent="0.35">
      <c r="B94" t="s">
        <v>93</v>
      </c>
      <c r="C94">
        <v>45</v>
      </c>
      <c r="D94">
        <v>4</v>
      </c>
      <c r="E94">
        <v>0</v>
      </c>
      <c r="F94">
        <v>2</v>
      </c>
      <c r="G94">
        <v>4</v>
      </c>
      <c r="H94">
        <v>9</v>
      </c>
      <c r="I94">
        <v>13</v>
      </c>
      <c r="J94">
        <v>14</v>
      </c>
      <c r="K94">
        <f t="shared" si="3"/>
        <v>5</v>
      </c>
    </row>
    <row r="95" spans="2:11" x14ac:dyDescent="0.35">
      <c r="B95" t="s">
        <v>94</v>
      </c>
      <c r="C95">
        <v>9</v>
      </c>
      <c r="D95">
        <v>0</v>
      </c>
      <c r="E95">
        <v>0</v>
      </c>
      <c r="F95">
        <v>0</v>
      </c>
      <c r="G95">
        <v>2</v>
      </c>
      <c r="H95">
        <v>0</v>
      </c>
      <c r="I95">
        <v>2</v>
      </c>
      <c r="J95">
        <v>6</v>
      </c>
      <c r="K95">
        <f t="shared" si="3"/>
        <v>2</v>
      </c>
    </row>
    <row r="96" spans="2:11" x14ac:dyDescent="0.35">
      <c r="B96" t="s">
        <v>95</v>
      </c>
      <c r="C96">
        <v>17</v>
      </c>
      <c r="D96">
        <v>3</v>
      </c>
      <c r="E96">
        <v>0</v>
      </c>
      <c r="F96">
        <v>0</v>
      </c>
      <c r="G96">
        <v>0</v>
      </c>
      <c r="H96">
        <v>2</v>
      </c>
      <c r="I96">
        <v>6</v>
      </c>
      <c r="J96">
        <v>7</v>
      </c>
      <c r="K96">
        <f t="shared" si="3"/>
        <v>3</v>
      </c>
    </row>
    <row r="97" spans="2:11" x14ac:dyDescent="0.35">
      <c r="B97" t="s">
        <v>96</v>
      </c>
      <c r="C97">
        <v>57</v>
      </c>
      <c r="D97">
        <v>1</v>
      </c>
      <c r="E97">
        <v>0</v>
      </c>
      <c r="F97">
        <v>0</v>
      </c>
      <c r="G97">
        <v>6</v>
      </c>
      <c r="H97">
        <v>10</v>
      </c>
      <c r="I97">
        <v>8</v>
      </c>
      <c r="J97">
        <v>33</v>
      </c>
      <c r="K97">
        <f t="shared" si="3"/>
        <v>4</v>
      </c>
    </row>
    <row r="98" spans="2:11" x14ac:dyDescent="0.35">
      <c r="B98" t="s">
        <v>97</v>
      </c>
      <c r="C98">
        <v>14</v>
      </c>
      <c r="D98">
        <v>0</v>
      </c>
      <c r="E98">
        <v>0</v>
      </c>
      <c r="F98">
        <v>0</v>
      </c>
      <c r="G98">
        <v>1</v>
      </c>
      <c r="H98">
        <v>1</v>
      </c>
      <c r="I98">
        <v>3</v>
      </c>
      <c r="J98">
        <v>10</v>
      </c>
      <c r="K98">
        <f t="shared" si="3"/>
        <v>3</v>
      </c>
    </row>
    <row r="99" spans="2:11" x14ac:dyDescent="0.35">
      <c r="B99" t="s">
        <v>98</v>
      </c>
      <c r="C99">
        <v>31</v>
      </c>
      <c r="D99">
        <v>4</v>
      </c>
      <c r="E99">
        <v>0</v>
      </c>
      <c r="F99">
        <v>0</v>
      </c>
      <c r="G99">
        <v>3</v>
      </c>
      <c r="H99">
        <v>6</v>
      </c>
      <c r="I99">
        <v>12</v>
      </c>
      <c r="J99">
        <v>7</v>
      </c>
      <c r="K99">
        <f t="shared" si="3"/>
        <v>4</v>
      </c>
    </row>
    <row r="100" spans="2:11" x14ac:dyDescent="0.35">
      <c r="B100" t="s">
        <v>99</v>
      </c>
      <c r="C100">
        <v>28</v>
      </c>
      <c r="D100">
        <v>0</v>
      </c>
      <c r="E100">
        <v>0</v>
      </c>
      <c r="F100">
        <v>0</v>
      </c>
      <c r="G100">
        <v>3</v>
      </c>
      <c r="H100">
        <v>2</v>
      </c>
      <c r="I100">
        <v>13</v>
      </c>
      <c r="J100">
        <v>11</v>
      </c>
      <c r="K100">
        <f t="shared" si="3"/>
        <v>3</v>
      </c>
    </row>
    <row r="101" spans="2:11" x14ac:dyDescent="0.35">
      <c r="B101" t="s">
        <v>100</v>
      </c>
      <c r="C101">
        <v>31</v>
      </c>
      <c r="D101">
        <v>1</v>
      </c>
      <c r="E101">
        <v>0</v>
      </c>
      <c r="F101">
        <v>0</v>
      </c>
      <c r="G101">
        <v>3</v>
      </c>
      <c r="H101">
        <v>2</v>
      </c>
      <c r="I101">
        <v>13</v>
      </c>
      <c r="J101">
        <v>13</v>
      </c>
      <c r="K101">
        <f t="shared" si="3"/>
        <v>4</v>
      </c>
    </row>
    <row r="102" spans="2:11" x14ac:dyDescent="0.35">
      <c r="B102" t="s">
        <v>101</v>
      </c>
      <c r="C102">
        <v>87</v>
      </c>
      <c r="D102">
        <v>0</v>
      </c>
      <c r="E102">
        <v>0</v>
      </c>
      <c r="F102">
        <v>0</v>
      </c>
      <c r="G102">
        <v>21</v>
      </c>
      <c r="H102">
        <v>20</v>
      </c>
      <c r="I102">
        <v>21</v>
      </c>
      <c r="J102">
        <v>26</v>
      </c>
      <c r="K102">
        <f t="shared" si="3"/>
        <v>3</v>
      </c>
    </row>
    <row r="103" spans="2:11" x14ac:dyDescent="0.35">
      <c r="B103" t="s">
        <v>102</v>
      </c>
      <c r="C103">
        <v>48</v>
      </c>
      <c r="D103">
        <v>7</v>
      </c>
      <c r="E103">
        <v>0</v>
      </c>
      <c r="F103">
        <v>0</v>
      </c>
      <c r="G103">
        <v>11</v>
      </c>
      <c r="H103">
        <v>11</v>
      </c>
      <c r="I103">
        <v>9</v>
      </c>
      <c r="J103">
        <v>11</v>
      </c>
      <c r="K103">
        <f t="shared" si="3"/>
        <v>4</v>
      </c>
    </row>
    <row r="104" spans="2:11" x14ac:dyDescent="0.35">
      <c r="B104" t="s">
        <v>103</v>
      </c>
      <c r="C104">
        <v>25</v>
      </c>
      <c r="D104">
        <v>1</v>
      </c>
      <c r="E104">
        <v>0</v>
      </c>
      <c r="F104">
        <v>0</v>
      </c>
      <c r="G104">
        <v>0</v>
      </c>
      <c r="H104">
        <v>7</v>
      </c>
      <c r="I104">
        <v>9</v>
      </c>
      <c r="J104">
        <v>9</v>
      </c>
      <c r="K104">
        <f t="shared" si="3"/>
        <v>3</v>
      </c>
    </row>
    <row r="105" spans="2:11" x14ac:dyDescent="0.35">
      <c r="B105" t="s">
        <v>104</v>
      </c>
      <c r="C105">
        <v>42</v>
      </c>
      <c r="D105">
        <v>1</v>
      </c>
      <c r="E105">
        <v>0</v>
      </c>
      <c r="F105">
        <v>0</v>
      </c>
      <c r="G105">
        <v>0</v>
      </c>
      <c r="H105">
        <v>3</v>
      </c>
      <c r="I105">
        <v>21</v>
      </c>
      <c r="J105">
        <v>18</v>
      </c>
      <c r="K105">
        <f t="shared" si="3"/>
        <v>3</v>
      </c>
    </row>
    <row r="106" spans="2:11" x14ac:dyDescent="0.35">
      <c r="B106" t="s">
        <v>105</v>
      </c>
      <c r="C106">
        <v>193</v>
      </c>
      <c r="D106">
        <v>6</v>
      </c>
      <c r="E106">
        <v>1</v>
      </c>
      <c r="F106">
        <v>0</v>
      </c>
      <c r="G106">
        <v>11</v>
      </c>
      <c r="H106">
        <v>17</v>
      </c>
      <c r="I106">
        <v>98</v>
      </c>
      <c r="J106">
        <v>61</v>
      </c>
      <c r="K106">
        <f t="shared" si="3"/>
        <v>5</v>
      </c>
    </row>
    <row r="107" spans="2:11" x14ac:dyDescent="0.35">
      <c r="B107" t="s">
        <v>106</v>
      </c>
      <c r="C107">
        <v>32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11</v>
      </c>
      <c r="J107">
        <v>21</v>
      </c>
      <c r="K107">
        <f t="shared" si="3"/>
        <v>2</v>
      </c>
    </row>
    <row r="108" spans="2:11" x14ac:dyDescent="0.35">
      <c r="B108" t="s">
        <v>107</v>
      </c>
      <c r="C108">
        <v>45</v>
      </c>
      <c r="D108">
        <v>1</v>
      </c>
      <c r="E108">
        <v>0</v>
      </c>
      <c r="F108">
        <v>1</v>
      </c>
      <c r="G108">
        <v>0</v>
      </c>
      <c r="H108">
        <v>1</v>
      </c>
      <c r="I108">
        <v>13</v>
      </c>
      <c r="J108">
        <v>30</v>
      </c>
      <c r="K108">
        <f t="shared" si="3"/>
        <v>4</v>
      </c>
    </row>
    <row r="109" spans="2:11" x14ac:dyDescent="0.35">
      <c r="B109" t="s">
        <v>108</v>
      </c>
      <c r="C109">
        <v>20</v>
      </c>
      <c r="D109">
        <v>2</v>
      </c>
      <c r="E109">
        <v>0</v>
      </c>
      <c r="F109">
        <v>0</v>
      </c>
      <c r="G109">
        <v>0</v>
      </c>
      <c r="H109">
        <v>0</v>
      </c>
      <c r="I109">
        <v>6</v>
      </c>
      <c r="J109">
        <v>13</v>
      </c>
      <c r="K109">
        <f t="shared" si="3"/>
        <v>2</v>
      </c>
    </row>
    <row r="110" spans="2:11" x14ac:dyDescent="0.35">
      <c r="B110" t="s">
        <v>109</v>
      </c>
      <c r="C110">
        <v>13</v>
      </c>
      <c r="D110">
        <v>3</v>
      </c>
      <c r="E110">
        <v>0</v>
      </c>
      <c r="F110">
        <v>0</v>
      </c>
      <c r="G110">
        <v>0</v>
      </c>
      <c r="H110">
        <v>1</v>
      </c>
      <c r="I110">
        <v>4</v>
      </c>
      <c r="J110">
        <v>6</v>
      </c>
      <c r="K110">
        <f t="shared" si="3"/>
        <v>3</v>
      </c>
    </row>
    <row r="111" spans="2:11" x14ac:dyDescent="0.35">
      <c r="B111" t="s">
        <v>110</v>
      </c>
      <c r="C111">
        <v>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4</v>
      </c>
      <c r="J111">
        <v>6</v>
      </c>
      <c r="K111">
        <f t="shared" si="3"/>
        <v>1</v>
      </c>
    </row>
    <row r="112" spans="2:11" x14ac:dyDescent="0.35">
      <c r="B112" t="s">
        <v>111</v>
      </c>
      <c r="C112">
        <v>48</v>
      </c>
      <c r="D112">
        <v>7</v>
      </c>
      <c r="E112">
        <v>2</v>
      </c>
      <c r="F112">
        <v>0</v>
      </c>
      <c r="G112">
        <v>4</v>
      </c>
      <c r="H112">
        <v>4</v>
      </c>
      <c r="I112">
        <v>23</v>
      </c>
      <c r="J112">
        <v>9</v>
      </c>
      <c r="K112">
        <f t="shared" si="3"/>
        <v>5</v>
      </c>
    </row>
    <row r="113" spans="2:11" x14ac:dyDescent="0.35">
      <c r="B113" t="s">
        <v>112</v>
      </c>
      <c r="C113">
        <v>56</v>
      </c>
      <c r="D113">
        <v>4</v>
      </c>
      <c r="E113">
        <v>0</v>
      </c>
      <c r="F113">
        <v>2</v>
      </c>
      <c r="G113">
        <v>4</v>
      </c>
      <c r="H113">
        <v>11</v>
      </c>
      <c r="I113">
        <v>14</v>
      </c>
      <c r="J113">
        <v>22</v>
      </c>
      <c r="K113">
        <f t="shared" si="3"/>
        <v>5</v>
      </c>
    </row>
    <row r="114" spans="2:11" x14ac:dyDescent="0.35">
      <c r="B114" t="s">
        <v>113</v>
      </c>
      <c r="C114">
        <v>19</v>
      </c>
      <c r="D114">
        <v>1</v>
      </c>
      <c r="E114">
        <v>0</v>
      </c>
      <c r="F114">
        <v>7</v>
      </c>
      <c r="G114">
        <v>1</v>
      </c>
      <c r="H114">
        <v>0</v>
      </c>
      <c r="I114">
        <v>2</v>
      </c>
      <c r="J114">
        <v>9</v>
      </c>
      <c r="K114">
        <f t="shared" si="3"/>
        <v>4</v>
      </c>
    </row>
    <row r="115" spans="2:11" x14ac:dyDescent="0.35">
      <c r="B115" t="s">
        <v>114</v>
      </c>
      <c r="C115">
        <v>13</v>
      </c>
      <c r="D115">
        <v>1</v>
      </c>
      <c r="E115">
        <v>0</v>
      </c>
      <c r="F115">
        <v>0</v>
      </c>
      <c r="G115">
        <v>2</v>
      </c>
      <c r="H115">
        <v>1</v>
      </c>
      <c r="I115">
        <v>5</v>
      </c>
      <c r="J115">
        <v>5</v>
      </c>
      <c r="K115">
        <f t="shared" si="3"/>
        <v>4</v>
      </c>
    </row>
    <row r="116" spans="2:11" x14ac:dyDescent="0.35">
      <c r="B116" t="s">
        <v>115</v>
      </c>
      <c r="C116">
        <v>11</v>
      </c>
      <c r="D116">
        <v>0</v>
      </c>
      <c r="E116">
        <v>0</v>
      </c>
      <c r="F116">
        <v>0</v>
      </c>
      <c r="G116">
        <v>0</v>
      </c>
      <c r="H116">
        <v>2</v>
      </c>
      <c r="I116">
        <v>5</v>
      </c>
      <c r="J116">
        <v>5</v>
      </c>
      <c r="K116">
        <f t="shared" si="3"/>
        <v>2</v>
      </c>
    </row>
    <row r="117" spans="2:11" x14ac:dyDescent="0.35">
      <c r="B117" t="s">
        <v>116</v>
      </c>
      <c r="C117">
        <v>123</v>
      </c>
      <c r="D117">
        <v>9</v>
      </c>
      <c r="E117">
        <v>0</v>
      </c>
      <c r="F117">
        <v>0</v>
      </c>
      <c r="G117">
        <v>13</v>
      </c>
      <c r="H117">
        <v>31</v>
      </c>
      <c r="I117">
        <v>16</v>
      </c>
      <c r="J117">
        <v>55</v>
      </c>
      <c r="K117">
        <f t="shared" si="3"/>
        <v>4</v>
      </c>
    </row>
    <row r="118" spans="2:11" x14ac:dyDescent="0.35">
      <c r="B118" t="s">
        <v>117</v>
      </c>
      <c r="C118">
        <v>2</v>
      </c>
      <c r="D118">
        <v>1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1</v>
      </c>
      <c r="K118">
        <f t="shared" si="3"/>
        <v>2</v>
      </c>
    </row>
    <row r="119" spans="2:11" x14ac:dyDescent="0.35">
      <c r="B119" t="s">
        <v>118</v>
      </c>
      <c r="C119">
        <v>26</v>
      </c>
      <c r="D119">
        <v>0</v>
      </c>
      <c r="E119">
        <v>0</v>
      </c>
      <c r="F119">
        <v>0</v>
      </c>
      <c r="G119">
        <v>9</v>
      </c>
      <c r="H119">
        <v>4</v>
      </c>
      <c r="I119">
        <v>6</v>
      </c>
      <c r="J119">
        <v>8</v>
      </c>
      <c r="K119">
        <f t="shared" si="3"/>
        <v>3</v>
      </c>
    </row>
    <row r="120" spans="2:11" x14ac:dyDescent="0.35">
      <c r="B120" t="s">
        <v>119</v>
      </c>
      <c r="C120">
        <v>32</v>
      </c>
      <c r="D120">
        <v>2</v>
      </c>
      <c r="E120">
        <v>0</v>
      </c>
      <c r="F120">
        <v>0</v>
      </c>
      <c r="G120">
        <v>0</v>
      </c>
      <c r="H120">
        <v>2</v>
      </c>
      <c r="I120">
        <v>9</v>
      </c>
      <c r="J120">
        <v>20</v>
      </c>
      <c r="K120">
        <f t="shared" si="3"/>
        <v>3</v>
      </c>
    </row>
    <row r="121" spans="2:11" x14ac:dyDescent="0.35">
      <c r="B121" t="s">
        <v>120</v>
      </c>
      <c r="C121">
        <v>18</v>
      </c>
      <c r="D121">
        <v>2</v>
      </c>
      <c r="E121">
        <v>0</v>
      </c>
      <c r="F121">
        <v>0</v>
      </c>
      <c r="G121">
        <v>9</v>
      </c>
      <c r="H121">
        <v>1</v>
      </c>
      <c r="I121">
        <v>1</v>
      </c>
      <c r="J121">
        <v>6</v>
      </c>
      <c r="K121">
        <f t="shared" si="3"/>
        <v>4</v>
      </c>
    </row>
    <row r="122" spans="2:11" x14ac:dyDescent="0.35">
      <c r="B122" t="s">
        <v>121</v>
      </c>
      <c r="C122">
        <v>70</v>
      </c>
      <c r="D122">
        <v>8</v>
      </c>
      <c r="E122">
        <v>0</v>
      </c>
      <c r="F122">
        <v>0</v>
      </c>
      <c r="G122">
        <v>10</v>
      </c>
      <c r="H122">
        <v>4</v>
      </c>
      <c r="I122">
        <v>43</v>
      </c>
      <c r="J122">
        <v>6</v>
      </c>
      <c r="K122">
        <f t="shared" si="3"/>
        <v>4</v>
      </c>
    </row>
    <row r="123" spans="2:11" x14ac:dyDescent="0.35">
      <c r="B123" t="s">
        <v>122</v>
      </c>
      <c r="C123">
        <v>27</v>
      </c>
      <c r="D123">
        <v>3</v>
      </c>
      <c r="E123">
        <v>0</v>
      </c>
      <c r="F123">
        <v>1</v>
      </c>
      <c r="G123">
        <v>5</v>
      </c>
      <c r="H123">
        <v>2</v>
      </c>
      <c r="I123">
        <v>4</v>
      </c>
      <c r="J123">
        <v>13</v>
      </c>
      <c r="K123">
        <f t="shared" si="3"/>
        <v>5</v>
      </c>
    </row>
    <row r="124" spans="2:11" x14ac:dyDescent="0.35">
      <c r="B124" t="s">
        <v>123</v>
      </c>
      <c r="C124">
        <v>55</v>
      </c>
      <c r="D124">
        <v>3</v>
      </c>
      <c r="E124">
        <v>1</v>
      </c>
      <c r="F124">
        <v>1</v>
      </c>
      <c r="G124">
        <v>5</v>
      </c>
      <c r="H124">
        <v>14</v>
      </c>
      <c r="I124">
        <v>8</v>
      </c>
      <c r="J124">
        <v>24</v>
      </c>
      <c r="K124">
        <f t="shared" si="3"/>
        <v>6</v>
      </c>
    </row>
    <row r="125" spans="2:11" x14ac:dyDescent="0.35">
      <c r="B125" t="s">
        <v>124</v>
      </c>
      <c r="C125">
        <v>40</v>
      </c>
      <c r="D125">
        <v>1</v>
      </c>
      <c r="E125">
        <v>1</v>
      </c>
      <c r="F125">
        <v>0</v>
      </c>
      <c r="G125">
        <v>5</v>
      </c>
      <c r="H125">
        <v>3</v>
      </c>
      <c r="I125">
        <v>12</v>
      </c>
      <c r="J125">
        <v>19</v>
      </c>
      <c r="K125">
        <f t="shared" si="3"/>
        <v>5</v>
      </c>
    </row>
    <row r="126" spans="2:11" x14ac:dyDescent="0.35">
      <c r="B126" t="s">
        <v>125</v>
      </c>
      <c r="C126">
        <v>7</v>
      </c>
      <c r="D126">
        <v>0</v>
      </c>
      <c r="E126">
        <v>0</v>
      </c>
      <c r="F126">
        <v>0</v>
      </c>
      <c r="G126">
        <v>1</v>
      </c>
      <c r="H126">
        <v>1</v>
      </c>
      <c r="I126">
        <v>3</v>
      </c>
      <c r="J126">
        <v>3</v>
      </c>
      <c r="K126">
        <f t="shared" si="3"/>
        <v>3</v>
      </c>
    </row>
    <row r="127" spans="2:11" x14ac:dyDescent="0.35">
      <c r="B127" t="s">
        <v>126</v>
      </c>
      <c r="C127">
        <v>12</v>
      </c>
      <c r="D127">
        <v>3</v>
      </c>
      <c r="E127">
        <v>0</v>
      </c>
      <c r="F127">
        <v>0</v>
      </c>
      <c r="G127">
        <v>1</v>
      </c>
      <c r="H127">
        <v>1</v>
      </c>
      <c r="I127">
        <v>5</v>
      </c>
      <c r="J127">
        <v>3</v>
      </c>
      <c r="K127">
        <f t="shared" si="3"/>
        <v>4</v>
      </c>
    </row>
    <row r="128" spans="2:11" x14ac:dyDescent="0.35">
      <c r="B128" t="s">
        <v>127</v>
      </c>
      <c r="C128">
        <v>25</v>
      </c>
      <c r="D128">
        <v>2</v>
      </c>
      <c r="E128">
        <v>0</v>
      </c>
      <c r="F128">
        <v>0</v>
      </c>
      <c r="G128">
        <v>1</v>
      </c>
      <c r="H128">
        <v>5</v>
      </c>
      <c r="I128">
        <v>10</v>
      </c>
      <c r="J128">
        <v>8</v>
      </c>
      <c r="K128">
        <f t="shared" si="3"/>
        <v>4</v>
      </c>
    </row>
    <row r="129" spans="2:11" x14ac:dyDescent="0.35">
      <c r="B129" t="s">
        <v>128</v>
      </c>
      <c r="C129">
        <v>16</v>
      </c>
      <c r="D129">
        <v>1</v>
      </c>
      <c r="E129">
        <v>0</v>
      </c>
      <c r="F129">
        <v>1</v>
      </c>
      <c r="G129">
        <v>5</v>
      </c>
      <c r="H129">
        <v>1</v>
      </c>
      <c r="I129">
        <v>3</v>
      </c>
      <c r="J129">
        <v>6</v>
      </c>
      <c r="K129">
        <f t="shared" si="3"/>
        <v>5</v>
      </c>
    </row>
    <row r="130" spans="2:11" x14ac:dyDescent="0.35">
      <c r="B130" t="s">
        <v>129</v>
      </c>
      <c r="C130">
        <v>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5</v>
      </c>
      <c r="J130">
        <v>2</v>
      </c>
      <c r="K130">
        <f t="shared" si="3"/>
        <v>1</v>
      </c>
    </row>
    <row r="131" spans="2:11" x14ac:dyDescent="0.35">
      <c r="B131" t="s">
        <v>130</v>
      </c>
      <c r="C131">
        <v>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5</v>
      </c>
      <c r="J131">
        <v>2</v>
      </c>
      <c r="K131">
        <f t="shared" si="3"/>
        <v>1</v>
      </c>
    </row>
    <row r="132" spans="2:11" x14ac:dyDescent="0.35">
      <c r="B132" t="s">
        <v>131</v>
      </c>
      <c r="C132">
        <v>15</v>
      </c>
      <c r="D132">
        <v>1</v>
      </c>
      <c r="E132">
        <v>0</v>
      </c>
      <c r="F132">
        <v>1</v>
      </c>
      <c r="G132">
        <v>0</v>
      </c>
      <c r="H132">
        <v>2</v>
      </c>
      <c r="I132">
        <v>4</v>
      </c>
      <c r="J132">
        <v>8</v>
      </c>
      <c r="K132">
        <f t="shared" si="3"/>
        <v>4</v>
      </c>
    </row>
    <row r="133" spans="2:11" x14ac:dyDescent="0.35">
      <c r="B133" t="s">
        <v>132</v>
      </c>
      <c r="C133">
        <v>19</v>
      </c>
      <c r="D133">
        <v>2</v>
      </c>
      <c r="E133">
        <v>0</v>
      </c>
      <c r="F133">
        <v>0</v>
      </c>
      <c r="G133">
        <v>0</v>
      </c>
      <c r="H133">
        <v>2</v>
      </c>
      <c r="I133">
        <v>2</v>
      </c>
      <c r="J133">
        <v>14</v>
      </c>
      <c r="K133">
        <f t="shared" si="3"/>
        <v>3</v>
      </c>
    </row>
    <row r="134" spans="2:11" x14ac:dyDescent="0.35">
      <c r="B134" t="s">
        <v>133</v>
      </c>
      <c r="C134">
        <v>17</v>
      </c>
      <c r="D134">
        <v>0</v>
      </c>
      <c r="E134">
        <v>0</v>
      </c>
      <c r="F134">
        <v>0</v>
      </c>
      <c r="G134">
        <v>2</v>
      </c>
      <c r="H134">
        <v>0</v>
      </c>
      <c r="I134">
        <v>2</v>
      </c>
      <c r="J134">
        <v>14</v>
      </c>
      <c r="K134">
        <f t="shared" si="3"/>
        <v>2</v>
      </c>
    </row>
    <row r="135" spans="2:11" x14ac:dyDescent="0.35">
      <c r="B135" t="s">
        <v>134</v>
      </c>
      <c r="C135">
        <v>43</v>
      </c>
      <c r="D135">
        <v>1</v>
      </c>
      <c r="E135">
        <v>0</v>
      </c>
      <c r="F135">
        <v>0</v>
      </c>
      <c r="G135">
        <v>1</v>
      </c>
      <c r="H135">
        <v>6</v>
      </c>
      <c r="I135">
        <v>9</v>
      </c>
      <c r="J135">
        <v>27</v>
      </c>
      <c r="K135">
        <f t="shared" si="3"/>
        <v>4</v>
      </c>
    </row>
    <row r="136" spans="2:11" x14ac:dyDescent="0.35">
      <c r="B136" t="s">
        <v>135</v>
      </c>
      <c r="C136">
        <v>56</v>
      </c>
      <c r="D136">
        <v>2</v>
      </c>
      <c r="E136">
        <v>0</v>
      </c>
      <c r="F136">
        <v>0</v>
      </c>
      <c r="G136">
        <v>5</v>
      </c>
      <c r="H136">
        <v>22</v>
      </c>
      <c r="I136">
        <v>23</v>
      </c>
      <c r="J136">
        <v>5</v>
      </c>
      <c r="K136">
        <f t="shared" si="3"/>
        <v>4</v>
      </c>
    </row>
    <row r="137" spans="2:11" x14ac:dyDescent="0.35">
      <c r="B137" t="s">
        <v>136</v>
      </c>
      <c r="C137">
        <v>18</v>
      </c>
      <c r="D137">
        <v>1</v>
      </c>
      <c r="E137">
        <v>0</v>
      </c>
      <c r="F137">
        <v>2</v>
      </c>
      <c r="G137">
        <v>0</v>
      </c>
      <c r="H137">
        <v>3</v>
      </c>
      <c r="I137">
        <v>4</v>
      </c>
      <c r="J137">
        <v>9</v>
      </c>
      <c r="K137">
        <f t="shared" si="3"/>
        <v>4</v>
      </c>
    </row>
    <row r="138" spans="2:11" x14ac:dyDescent="0.35">
      <c r="B138" t="s">
        <v>137</v>
      </c>
      <c r="C138">
        <v>10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5</v>
      </c>
      <c r="J138">
        <v>6</v>
      </c>
      <c r="K138">
        <f t="shared" si="3"/>
        <v>1</v>
      </c>
    </row>
    <row r="139" spans="2:11" x14ac:dyDescent="0.35">
      <c r="B139" t="s">
        <v>138</v>
      </c>
      <c r="C139">
        <v>7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5</v>
      </c>
      <c r="J139">
        <v>3</v>
      </c>
      <c r="K139">
        <f t="shared" si="3"/>
        <v>1</v>
      </c>
    </row>
    <row r="140" spans="2:11" x14ac:dyDescent="0.35">
      <c r="B140" t="s">
        <v>139</v>
      </c>
      <c r="C140">
        <v>21</v>
      </c>
      <c r="D140">
        <v>1</v>
      </c>
      <c r="E140">
        <v>0</v>
      </c>
      <c r="F140">
        <v>0</v>
      </c>
      <c r="G140">
        <v>3</v>
      </c>
      <c r="H140">
        <v>1</v>
      </c>
      <c r="I140">
        <v>7</v>
      </c>
      <c r="J140">
        <v>10</v>
      </c>
      <c r="K140">
        <f t="shared" ref="K140:K203" si="4">COUNTIF(D140:I140, "&gt;0")</f>
        <v>4</v>
      </c>
    </row>
    <row r="141" spans="2:11" x14ac:dyDescent="0.35">
      <c r="B141" t="s">
        <v>140</v>
      </c>
      <c r="C141">
        <v>22</v>
      </c>
      <c r="D141">
        <v>2</v>
      </c>
      <c r="E141">
        <v>0</v>
      </c>
      <c r="F141">
        <v>0</v>
      </c>
      <c r="G141">
        <v>0</v>
      </c>
      <c r="H141">
        <v>4</v>
      </c>
      <c r="I141">
        <v>3</v>
      </c>
      <c r="J141">
        <v>14</v>
      </c>
      <c r="K141">
        <f t="shared" si="4"/>
        <v>3</v>
      </c>
    </row>
    <row r="142" spans="2:11" x14ac:dyDescent="0.35">
      <c r="B142" t="s">
        <v>141</v>
      </c>
      <c r="C142">
        <v>38</v>
      </c>
      <c r="D142">
        <v>2</v>
      </c>
      <c r="E142">
        <v>1</v>
      </c>
      <c r="F142">
        <v>1</v>
      </c>
      <c r="G142">
        <v>1</v>
      </c>
      <c r="H142">
        <v>2</v>
      </c>
      <c r="I142">
        <v>9</v>
      </c>
      <c r="J142">
        <v>23</v>
      </c>
      <c r="K142">
        <f t="shared" si="4"/>
        <v>6</v>
      </c>
    </row>
    <row r="143" spans="2:11" x14ac:dyDescent="0.35">
      <c r="B143" t="s">
        <v>142</v>
      </c>
      <c r="C143">
        <v>26</v>
      </c>
      <c r="D143">
        <v>2</v>
      </c>
      <c r="E143">
        <v>0</v>
      </c>
      <c r="F143">
        <v>0</v>
      </c>
      <c r="G143">
        <v>0</v>
      </c>
      <c r="H143">
        <v>0</v>
      </c>
      <c r="I143">
        <v>16</v>
      </c>
      <c r="J143">
        <v>9</v>
      </c>
      <c r="K143">
        <f t="shared" si="4"/>
        <v>2</v>
      </c>
    </row>
    <row r="144" spans="2:11" x14ac:dyDescent="0.35">
      <c r="B144" t="s">
        <v>143</v>
      </c>
      <c r="C144">
        <v>80</v>
      </c>
      <c r="D144">
        <v>10</v>
      </c>
      <c r="E144">
        <v>0</v>
      </c>
      <c r="F144">
        <v>1</v>
      </c>
      <c r="G144">
        <v>0</v>
      </c>
      <c r="H144">
        <v>8</v>
      </c>
      <c r="I144">
        <v>40</v>
      </c>
      <c r="J144">
        <v>22</v>
      </c>
      <c r="K144">
        <f t="shared" si="4"/>
        <v>4</v>
      </c>
    </row>
    <row r="145" spans="2:11" x14ac:dyDescent="0.35">
      <c r="B145" t="s">
        <v>144</v>
      </c>
      <c r="C145">
        <v>18</v>
      </c>
      <c r="D145">
        <v>1</v>
      </c>
      <c r="E145">
        <v>1</v>
      </c>
      <c r="F145">
        <v>1</v>
      </c>
      <c r="G145">
        <v>0</v>
      </c>
      <c r="H145">
        <v>0</v>
      </c>
      <c r="I145">
        <v>3</v>
      </c>
      <c r="J145">
        <v>13</v>
      </c>
      <c r="K145">
        <f t="shared" si="4"/>
        <v>4</v>
      </c>
    </row>
    <row r="146" spans="2:11" x14ac:dyDescent="0.35">
      <c r="B146" t="s">
        <v>145</v>
      </c>
      <c r="C146">
        <v>9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3</v>
      </c>
      <c r="J146">
        <v>6</v>
      </c>
      <c r="K146">
        <f t="shared" si="4"/>
        <v>2</v>
      </c>
    </row>
    <row r="147" spans="2:11" x14ac:dyDescent="0.35">
      <c r="B147" t="s">
        <v>146</v>
      </c>
      <c r="C147">
        <v>23</v>
      </c>
      <c r="D147">
        <v>0</v>
      </c>
      <c r="E147">
        <v>0</v>
      </c>
      <c r="F147">
        <v>0</v>
      </c>
      <c r="G147">
        <v>4</v>
      </c>
      <c r="H147">
        <v>2</v>
      </c>
      <c r="I147">
        <v>12</v>
      </c>
      <c r="J147">
        <v>6</v>
      </c>
      <c r="K147">
        <f t="shared" si="4"/>
        <v>3</v>
      </c>
    </row>
    <row r="148" spans="2:11" x14ac:dyDescent="0.35">
      <c r="B148" t="s">
        <v>147</v>
      </c>
      <c r="C148">
        <v>74</v>
      </c>
      <c r="D148">
        <v>3</v>
      </c>
      <c r="E148">
        <v>0</v>
      </c>
      <c r="F148">
        <v>0</v>
      </c>
      <c r="G148">
        <v>12</v>
      </c>
      <c r="H148">
        <v>3</v>
      </c>
      <c r="I148">
        <v>18</v>
      </c>
      <c r="J148">
        <v>39</v>
      </c>
      <c r="K148">
        <f t="shared" si="4"/>
        <v>4</v>
      </c>
    </row>
    <row r="149" spans="2:11" x14ac:dyDescent="0.35">
      <c r="B149" t="s">
        <v>148</v>
      </c>
      <c r="C149">
        <v>41</v>
      </c>
      <c r="D149">
        <v>0</v>
      </c>
      <c r="E149">
        <v>0</v>
      </c>
      <c r="F149">
        <v>0</v>
      </c>
      <c r="G149">
        <v>0</v>
      </c>
      <c r="H149">
        <v>24</v>
      </c>
      <c r="I149">
        <v>7</v>
      </c>
      <c r="J149">
        <v>11</v>
      </c>
      <c r="K149">
        <f t="shared" si="4"/>
        <v>2</v>
      </c>
    </row>
    <row r="150" spans="2:11" x14ac:dyDescent="0.35">
      <c r="B150" t="s">
        <v>149</v>
      </c>
      <c r="C150">
        <v>11</v>
      </c>
      <c r="D150">
        <v>1</v>
      </c>
      <c r="E150">
        <v>0</v>
      </c>
      <c r="F150">
        <v>0</v>
      </c>
      <c r="G150">
        <v>1</v>
      </c>
      <c r="H150">
        <v>0</v>
      </c>
      <c r="I150">
        <v>3</v>
      </c>
      <c r="J150">
        <v>7</v>
      </c>
      <c r="K150">
        <f t="shared" si="4"/>
        <v>3</v>
      </c>
    </row>
    <row r="151" spans="2:11" x14ac:dyDescent="0.35">
      <c r="B151" t="s">
        <v>150</v>
      </c>
      <c r="C151">
        <v>97</v>
      </c>
      <c r="D151">
        <v>2</v>
      </c>
      <c r="E151">
        <v>0</v>
      </c>
      <c r="F151">
        <v>4</v>
      </c>
      <c r="G151">
        <v>0</v>
      </c>
      <c r="H151">
        <v>6</v>
      </c>
      <c r="I151">
        <v>27</v>
      </c>
      <c r="J151">
        <v>59</v>
      </c>
      <c r="K151">
        <f t="shared" si="4"/>
        <v>4</v>
      </c>
    </row>
    <row r="152" spans="2:11" x14ac:dyDescent="0.35">
      <c r="B152" t="s">
        <v>151</v>
      </c>
      <c r="C152">
        <v>15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3</v>
      </c>
      <c r="J152">
        <v>10</v>
      </c>
      <c r="K152">
        <f t="shared" si="4"/>
        <v>2</v>
      </c>
    </row>
    <row r="153" spans="2:11" x14ac:dyDescent="0.35">
      <c r="B153" t="s">
        <v>152</v>
      </c>
      <c r="C153">
        <v>20</v>
      </c>
      <c r="D153">
        <v>0</v>
      </c>
      <c r="E153">
        <v>0</v>
      </c>
      <c r="F153">
        <v>0</v>
      </c>
      <c r="G153">
        <v>0</v>
      </c>
      <c r="H153">
        <v>4</v>
      </c>
      <c r="I153">
        <v>3</v>
      </c>
      <c r="J153">
        <v>14</v>
      </c>
      <c r="K153">
        <f t="shared" si="4"/>
        <v>2</v>
      </c>
    </row>
    <row r="154" spans="2:11" x14ac:dyDescent="0.35">
      <c r="B154" t="s">
        <v>153</v>
      </c>
      <c r="C154">
        <v>35</v>
      </c>
      <c r="D154">
        <v>3</v>
      </c>
      <c r="E154">
        <v>0</v>
      </c>
      <c r="F154">
        <v>0</v>
      </c>
      <c r="G154">
        <v>2</v>
      </c>
      <c r="H154">
        <v>3</v>
      </c>
      <c r="I154">
        <v>11</v>
      </c>
      <c r="J154">
        <v>17</v>
      </c>
      <c r="K154">
        <f t="shared" si="4"/>
        <v>4</v>
      </c>
    </row>
    <row r="155" spans="2:11" x14ac:dyDescent="0.35">
      <c r="B155" t="s">
        <v>154</v>
      </c>
      <c r="C155">
        <v>27</v>
      </c>
      <c r="D155">
        <v>6</v>
      </c>
      <c r="E155">
        <v>0</v>
      </c>
      <c r="F155">
        <v>0</v>
      </c>
      <c r="G155">
        <v>0</v>
      </c>
      <c r="H155">
        <v>0</v>
      </c>
      <c r="I155">
        <v>15</v>
      </c>
      <c r="J155">
        <v>7</v>
      </c>
      <c r="K155">
        <f t="shared" si="4"/>
        <v>2</v>
      </c>
    </row>
    <row r="156" spans="2:11" x14ac:dyDescent="0.35">
      <c r="B156" t="s">
        <v>155</v>
      </c>
      <c r="C156">
        <v>47</v>
      </c>
      <c r="D156">
        <v>2</v>
      </c>
      <c r="E156">
        <v>0</v>
      </c>
      <c r="F156">
        <v>0</v>
      </c>
      <c r="G156">
        <v>6</v>
      </c>
      <c r="H156">
        <v>3</v>
      </c>
      <c r="I156">
        <v>10</v>
      </c>
      <c r="J156">
        <v>27</v>
      </c>
      <c r="K156">
        <f t="shared" si="4"/>
        <v>4</v>
      </c>
    </row>
    <row r="157" spans="2:11" x14ac:dyDescent="0.35">
      <c r="B157" t="s">
        <v>156</v>
      </c>
      <c r="C157">
        <v>7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2</v>
      </c>
      <c r="J157">
        <v>5</v>
      </c>
      <c r="K157">
        <f t="shared" si="4"/>
        <v>2</v>
      </c>
    </row>
    <row r="158" spans="2:11" x14ac:dyDescent="0.35">
      <c r="B158" t="s">
        <v>157</v>
      </c>
      <c r="C158">
        <v>10</v>
      </c>
      <c r="D158">
        <v>0</v>
      </c>
      <c r="E158">
        <v>0</v>
      </c>
      <c r="F158">
        <v>0</v>
      </c>
      <c r="G158">
        <v>0</v>
      </c>
      <c r="H158">
        <v>2</v>
      </c>
      <c r="I158">
        <v>4</v>
      </c>
      <c r="J158">
        <v>5</v>
      </c>
      <c r="K158">
        <f t="shared" si="4"/>
        <v>2</v>
      </c>
    </row>
    <row r="159" spans="2:11" x14ac:dyDescent="0.35">
      <c r="B159" t="s">
        <v>158</v>
      </c>
      <c r="C159">
        <v>28</v>
      </c>
      <c r="D159">
        <v>1</v>
      </c>
      <c r="E159">
        <v>0</v>
      </c>
      <c r="F159">
        <v>3</v>
      </c>
      <c r="G159">
        <v>0</v>
      </c>
      <c r="H159">
        <v>0</v>
      </c>
      <c r="I159">
        <v>1</v>
      </c>
      <c r="J159">
        <v>24</v>
      </c>
      <c r="K159">
        <f t="shared" si="4"/>
        <v>3</v>
      </c>
    </row>
    <row r="160" spans="2:11" x14ac:dyDescent="0.35">
      <c r="B160" t="s">
        <v>159</v>
      </c>
      <c r="C160">
        <v>27</v>
      </c>
      <c r="D160">
        <v>5</v>
      </c>
      <c r="E160">
        <v>0</v>
      </c>
      <c r="F160">
        <v>0</v>
      </c>
      <c r="G160">
        <v>1</v>
      </c>
      <c r="H160">
        <v>3</v>
      </c>
      <c r="I160">
        <v>13</v>
      </c>
      <c r="J160">
        <v>6</v>
      </c>
      <c r="K160">
        <f t="shared" si="4"/>
        <v>4</v>
      </c>
    </row>
    <row r="161" spans="2:11" x14ac:dyDescent="0.35">
      <c r="B161" t="s">
        <v>160</v>
      </c>
      <c r="C161">
        <v>14</v>
      </c>
      <c r="D161">
        <v>0</v>
      </c>
      <c r="E161">
        <v>0</v>
      </c>
      <c r="F161">
        <v>0</v>
      </c>
      <c r="G161">
        <v>0</v>
      </c>
      <c r="H161">
        <v>8</v>
      </c>
      <c r="I161">
        <v>3</v>
      </c>
      <c r="J161">
        <v>4</v>
      </c>
      <c r="K161">
        <f t="shared" si="4"/>
        <v>2</v>
      </c>
    </row>
    <row r="162" spans="2:11" x14ac:dyDescent="0.35">
      <c r="B162" t="s">
        <v>161</v>
      </c>
      <c r="C162">
        <v>25</v>
      </c>
      <c r="D162">
        <v>1</v>
      </c>
      <c r="E162">
        <v>0</v>
      </c>
      <c r="F162">
        <v>2</v>
      </c>
      <c r="G162">
        <v>0</v>
      </c>
      <c r="H162">
        <v>1</v>
      </c>
      <c r="I162">
        <v>5</v>
      </c>
      <c r="J162">
        <v>17</v>
      </c>
      <c r="K162">
        <f t="shared" si="4"/>
        <v>4</v>
      </c>
    </row>
    <row r="163" spans="2:11" x14ac:dyDescent="0.35">
      <c r="B163" t="s">
        <v>162</v>
      </c>
      <c r="C163">
        <v>92</v>
      </c>
      <c r="D163">
        <v>2</v>
      </c>
      <c r="E163">
        <v>0</v>
      </c>
      <c r="F163">
        <v>0</v>
      </c>
      <c r="G163">
        <v>12</v>
      </c>
      <c r="H163">
        <v>7</v>
      </c>
      <c r="I163">
        <v>17</v>
      </c>
      <c r="J163">
        <v>55</v>
      </c>
      <c r="K163">
        <f t="shared" si="4"/>
        <v>4</v>
      </c>
    </row>
    <row r="164" spans="2:11" x14ac:dyDescent="0.35">
      <c r="B164" t="s">
        <v>163</v>
      </c>
      <c r="C164">
        <v>62</v>
      </c>
      <c r="D164">
        <v>1</v>
      </c>
      <c r="E164">
        <v>0</v>
      </c>
      <c r="F164">
        <v>0</v>
      </c>
      <c r="G164">
        <v>0</v>
      </c>
      <c r="H164">
        <v>1</v>
      </c>
      <c r="I164">
        <v>13</v>
      </c>
      <c r="J164">
        <v>48</v>
      </c>
      <c r="K164">
        <f t="shared" si="4"/>
        <v>3</v>
      </c>
    </row>
    <row r="165" spans="2:11" x14ac:dyDescent="0.35">
      <c r="B165" t="s">
        <v>164</v>
      </c>
      <c r="C165">
        <v>35</v>
      </c>
      <c r="D165">
        <v>1</v>
      </c>
      <c r="E165">
        <v>0</v>
      </c>
      <c r="F165">
        <v>0</v>
      </c>
      <c r="G165">
        <v>0</v>
      </c>
      <c r="H165">
        <v>2</v>
      </c>
      <c r="I165">
        <v>16</v>
      </c>
      <c r="J165">
        <v>17</v>
      </c>
      <c r="K165">
        <f t="shared" si="4"/>
        <v>3</v>
      </c>
    </row>
    <row r="166" spans="2:11" x14ac:dyDescent="0.35">
      <c r="B166" t="s">
        <v>165</v>
      </c>
      <c r="C166">
        <v>23</v>
      </c>
      <c r="D166">
        <v>0</v>
      </c>
      <c r="E166">
        <v>0</v>
      </c>
      <c r="F166">
        <v>0</v>
      </c>
      <c r="G166">
        <v>3</v>
      </c>
      <c r="H166">
        <v>7</v>
      </c>
      <c r="I166">
        <v>0</v>
      </c>
      <c r="J166">
        <v>14</v>
      </c>
      <c r="K166">
        <f t="shared" si="4"/>
        <v>2</v>
      </c>
    </row>
    <row r="167" spans="2:11" x14ac:dyDescent="0.35">
      <c r="B167" t="s">
        <v>166</v>
      </c>
      <c r="C167">
        <v>13</v>
      </c>
      <c r="D167">
        <v>3</v>
      </c>
      <c r="E167">
        <v>0</v>
      </c>
      <c r="F167">
        <v>1</v>
      </c>
      <c r="G167">
        <v>0</v>
      </c>
      <c r="H167">
        <v>1</v>
      </c>
      <c r="I167">
        <v>4</v>
      </c>
      <c r="J167">
        <v>5</v>
      </c>
      <c r="K167">
        <f t="shared" si="4"/>
        <v>4</v>
      </c>
    </row>
    <row r="168" spans="2:11" x14ac:dyDescent="0.35">
      <c r="B168" t="s">
        <v>167</v>
      </c>
      <c r="C168">
        <v>49</v>
      </c>
      <c r="D168">
        <v>0</v>
      </c>
      <c r="E168">
        <v>0</v>
      </c>
      <c r="F168">
        <v>0</v>
      </c>
      <c r="G168">
        <v>7</v>
      </c>
      <c r="H168">
        <v>7</v>
      </c>
      <c r="I168">
        <v>12</v>
      </c>
      <c r="J168">
        <v>24</v>
      </c>
      <c r="K168">
        <f t="shared" si="4"/>
        <v>3</v>
      </c>
    </row>
    <row r="169" spans="2:11" x14ac:dyDescent="0.35">
      <c r="B169" t="s">
        <v>168</v>
      </c>
      <c r="C169">
        <v>66</v>
      </c>
      <c r="D169">
        <v>1</v>
      </c>
      <c r="E169">
        <v>0</v>
      </c>
      <c r="F169">
        <v>2</v>
      </c>
      <c r="G169">
        <v>8</v>
      </c>
      <c r="H169">
        <v>0</v>
      </c>
      <c r="I169">
        <v>10</v>
      </c>
      <c r="J169">
        <v>46</v>
      </c>
      <c r="K169">
        <f t="shared" si="4"/>
        <v>4</v>
      </c>
    </row>
    <row r="170" spans="2:11" x14ac:dyDescent="0.35">
      <c r="B170" t="s">
        <v>169</v>
      </c>
      <c r="C170">
        <v>58</v>
      </c>
      <c r="D170">
        <v>6</v>
      </c>
      <c r="E170">
        <v>0</v>
      </c>
      <c r="F170">
        <v>0</v>
      </c>
      <c r="G170">
        <v>3</v>
      </c>
      <c r="H170">
        <v>13</v>
      </c>
      <c r="I170">
        <v>23</v>
      </c>
      <c r="J170">
        <v>14</v>
      </c>
      <c r="K170">
        <f t="shared" si="4"/>
        <v>4</v>
      </c>
    </row>
    <row r="171" spans="2:11" x14ac:dyDescent="0.35">
      <c r="B171" t="s">
        <v>170</v>
      </c>
      <c r="C171">
        <v>18</v>
      </c>
      <c r="D171">
        <v>0</v>
      </c>
      <c r="E171">
        <v>0</v>
      </c>
      <c r="F171">
        <v>0</v>
      </c>
      <c r="G171">
        <v>2</v>
      </c>
      <c r="H171">
        <v>2</v>
      </c>
      <c r="I171">
        <v>5</v>
      </c>
      <c r="J171">
        <v>10</v>
      </c>
      <c r="K171">
        <f t="shared" si="4"/>
        <v>3</v>
      </c>
    </row>
    <row r="172" spans="2:11" x14ac:dyDescent="0.35">
      <c r="B172" t="s">
        <v>171</v>
      </c>
      <c r="C172">
        <v>39</v>
      </c>
      <c r="D172">
        <v>2</v>
      </c>
      <c r="E172">
        <v>0</v>
      </c>
      <c r="F172">
        <v>0</v>
      </c>
      <c r="G172">
        <v>3</v>
      </c>
      <c r="H172">
        <v>1</v>
      </c>
      <c r="I172">
        <v>7</v>
      </c>
      <c r="J172">
        <v>27</v>
      </c>
      <c r="K172">
        <f t="shared" si="4"/>
        <v>4</v>
      </c>
    </row>
    <row r="173" spans="2:11" x14ac:dyDescent="0.35">
      <c r="B173" t="s">
        <v>172</v>
      </c>
      <c r="C173">
        <v>11</v>
      </c>
      <c r="D173">
        <v>1</v>
      </c>
      <c r="E173">
        <v>1</v>
      </c>
      <c r="F173">
        <v>0</v>
      </c>
      <c r="G173">
        <v>0</v>
      </c>
      <c r="H173">
        <v>0</v>
      </c>
      <c r="I173">
        <v>6</v>
      </c>
      <c r="J173">
        <v>4</v>
      </c>
      <c r="K173">
        <f t="shared" si="4"/>
        <v>3</v>
      </c>
    </row>
    <row r="174" spans="2:11" x14ac:dyDescent="0.35">
      <c r="B174" t="s">
        <v>173</v>
      </c>
      <c r="C174">
        <v>46</v>
      </c>
      <c r="D174">
        <v>4</v>
      </c>
      <c r="E174">
        <v>0</v>
      </c>
      <c r="F174">
        <v>15</v>
      </c>
      <c r="G174">
        <v>0</v>
      </c>
      <c r="H174">
        <v>1</v>
      </c>
      <c r="I174">
        <v>14</v>
      </c>
      <c r="J174">
        <v>13</v>
      </c>
      <c r="K174">
        <f t="shared" si="4"/>
        <v>4</v>
      </c>
    </row>
    <row r="175" spans="2:11" x14ac:dyDescent="0.35">
      <c r="B175" t="s">
        <v>174</v>
      </c>
      <c r="C175">
        <v>19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3</v>
      </c>
      <c r="J175">
        <v>16</v>
      </c>
      <c r="K175">
        <f t="shared" si="4"/>
        <v>2</v>
      </c>
    </row>
    <row r="176" spans="2:11" x14ac:dyDescent="0.35">
      <c r="B176" t="s">
        <v>175</v>
      </c>
      <c r="C176">
        <v>22</v>
      </c>
      <c r="D176">
        <v>2</v>
      </c>
      <c r="E176">
        <v>0</v>
      </c>
      <c r="F176">
        <v>2</v>
      </c>
      <c r="G176">
        <v>1</v>
      </c>
      <c r="H176">
        <v>1</v>
      </c>
      <c r="I176">
        <v>4</v>
      </c>
      <c r="J176">
        <v>13</v>
      </c>
      <c r="K176">
        <f t="shared" si="4"/>
        <v>5</v>
      </c>
    </row>
    <row r="177" spans="2:11" x14ac:dyDescent="0.35">
      <c r="B177" t="s">
        <v>176</v>
      </c>
      <c r="C177">
        <v>53</v>
      </c>
      <c r="D177">
        <v>4</v>
      </c>
      <c r="E177">
        <v>1</v>
      </c>
      <c r="F177">
        <v>0</v>
      </c>
      <c r="G177">
        <v>0</v>
      </c>
      <c r="H177">
        <v>2</v>
      </c>
      <c r="I177">
        <v>28</v>
      </c>
      <c r="J177">
        <v>19</v>
      </c>
      <c r="K177">
        <f t="shared" si="4"/>
        <v>4</v>
      </c>
    </row>
    <row r="178" spans="2:11" x14ac:dyDescent="0.35">
      <c r="B178" t="s">
        <v>177</v>
      </c>
      <c r="C178">
        <v>27</v>
      </c>
      <c r="D178">
        <v>5</v>
      </c>
      <c r="E178">
        <v>0</v>
      </c>
      <c r="F178">
        <v>1</v>
      </c>
      <c r="G178">
        <v>0</v>
      </c>
      <c r="H178">
        <v>2</v>
      </c>
      <c r="I178">
        <v>8</v>
      </c>
      <c r="J178">
        <v>12</v>
      </c>
      <c r="K178">
        <f t="shared" si="4"/>
        <v>4</v>
      </c>
    </row>
    <row r="179" spans="2:11" x14ac:dyDescent="0.35">
      <c r="B179" t="s">
        <v>178</v>
      </c>
      <c r="C179">
        <v>10</v>
      </c>
      <c r="D179">
        <v>3</v>
      </c>
      <c r="E179">
        <v>2</v>
      </c>
      <c r="F179">
        <v>0</v>
      </c>
      <c r="G179">
        <v>3</v>
      </c>
      <c r="H179">
        <v>0</v>
      </c>
      <c r="I179">
        <v>1</v>
      </c>
      <c r="J179">
        <v>2</v>
      </c>
      <c r="K179">
        <f t="shared" si="4"/>
        <v>4</v>
      </c>
    </row>
    <row r="180" spans="2:11" x14ac:dyDescent="0.35">
      <c r="B180" t="s">
        <v>179</v>
      </c>
      <c r="C180">
        <v>40</v>
      </c>
      <c r="D180">
        <v>8</v>
      </c>
      <c r="E180">
        <v>0</v>
      </c>
      <c r="F180">
        <v>0</v>
      </c>
      <c r="G180">
        <v>2</v>
      </c>
      <c r="H180">
        <v>2</v>
      </c>
      <c r="I180">
        <v>19</v>
      </c>
      <c r="J180">
        <v>10</v>
      </c>
      <c r="K180">
        <f t="shared" si="4"/>
        <v>4</v>
      </c>
    </row>
    <row r="181" spans="2:11" x14ac:dyDescent="0.35">
      <c r="B181" t="s">
        <v>180</v>
      </c>
      <c r="C181">
        <v>56</v>
      </c>
      <c r="D181">
        <v>3</v>
      </c>
      <c r="E181">
        <v>0</v>
      </c>
      <c r="F181">
        <v>0</v>
      </c>
      <c r="G181">
        <v>4</v>
      </c>
      <c r="H181">
        <v>5</v>
      </c>
      <c r="I181">
        <v>15</v>
      </c>
      <c r="J181">
        <v>30</v>
      </c>
      <c r="K181">
        <f t="shared" si="4"/>
        <v>4</v>
      </c>
    </row>
    <row r="182" spans="2:11" x14ac:dyDescent="0.35">
      <c r="B182" t="s">
        <v>181</v>
      </c>
      <c r="C182">
        <v>117</v>
      </c>
      <c r="D182">
        <v>2</v>
      </c>
      <c r="E182">
        <v>0</v>
      </c>
      <c r="F182">
        <v>0</v>
      </c>
      <c r="G182">
        <v>2</v>
      </c>
      <c r="H182">
        <v>5</v>
      </c>
      <c r="I182">
        <v>67</v>
      </c>
      <c r="J182">
        <v>42</v>
      </c>
      <c r="K182">
        <f t="shared" si="4"/>
        <v>4</v>
      </c>
    </row>
    <row r="183" spans="2:11" x14ac:dyDescent="0.35">
      <c r="B183" t="s">
        <v>182</v>
      </c>
      <c r="C183">
        <v>39</v>
      </c>
      <c r="D183">
        <v>1</v>
      </c>
      <c r="E183">
        <v>0</v>
      </c>
      <c r="F183">
        <v>0</v>
      </c>
      <c r="G183">
        <v>2</v>
      </c>
      <c r="H183">
        <v>6</v>
      </c>
      <c r="I183">
        <v>10</v>
      </c>
      <c r="J183">
        <v>21</v>
      </c>
      <c r="K183">
        <f t="shared" si="4"/>
        <v>4</v>
      </c>
    </row>
    <row r="184" spans="2:11" x14ac:dyDescent="0.35">
      <c r="B184" t="s">
        <v>183</v>
      </c>
      <c r="C184">
        <v>35</v>
      </c>
      <c r="D184">
        <v>2</v>
      </c>
      <c r="E184">
        <v>0</v>
      </c>
      <c r="F184">
        <v>0</v>
      </c>
      <c r="G184">
        <v>1</v>
      </c>
      <c r="H184">
        <v>11</v>
      </c>
      <c r="I184">
        <v>9</v>
      </c>
      <c r="J184">
        <v>13</v>
      </c>
      <c r="K184">
        <f t="shared" si="4"/>
        <v>4</v>
      </c>
    </row>
    <row r="185" spans="2:11" x14ac:dyDescent="0.35">
      <c r="B185" t="s">
        <v>184</v>
      </c>
      <c r="C185">
        <v>40</v>
      </c>
      <c r="D185">
        <v>0</v>
      </c>
      <c r="E185">
        <v>0</v>
      </c>
      <c r="F185">
        <v>0</v>
      </c>
      <c r="G185">
        <v>0</v>
      </c>
      <c r="H185">
        <v>6</v>
      </c>
      <c r="I185">
        <v>23</v>
      </c>
      <c r="J185">
        <v>12</v>
      </c>
      <c r="K185">
        <f t="shared" si="4"/>
        <v>2</v>
      </c>
    </row>
    <row r="186" spans="2:11" x14ac:dyDescent="0.35">
      <c r="B186" t="s">
        <v>185</v>
      </c>
      <c r="C186">
        <v>64</v>
      </c>
      <c r="D186">
        <v>4</v>
      </c>
      <c r="E186">
        <v>0</v>
      </c>
      <c r="F186">
        <v>0</v>
      </c>
      <c r="G186">
        <v>2</v>
      </c>
      <c r="H186">
        <v>10</v>
      </c>
      <c r="I186">
        <v>34</v>
      </c>
      <c r="J186">
        <v>15</v>
      </c>
      <c r="K186">
        <f t="shared" si="4"/>
        <v>4</v>
      </c>
    </row>
    <row r="187" spans="2:11" x14ac:dyDescent="0.35">
      <c r="B187" t="s">
        <v>186</v>
      </c>
      <c r="C187">
        <v>13</v>
      </c>
      <c r="D187">
        <v>0</v>
      </c>
      <c r="E187">
        <v>0</v>
      </c>
      <c r="F187">
        <v>0</v>
      </c>
      <c r="G187">
        <v>0</v>
      </c>
      <c r="H187">
        <v>2</v>
      </c>
      <c r="I187">
        <v>9</v>
      </c>
      <c r="J187">
        <v>3</v>
      </c>
      <c r="K187">
        <f t="shared" si="4"/>
        <v>2</v>
      </c>
    </row>
    <row r="188" spans="2:11" x14ac:dyDescent="0.35">
      <c r="B188" t="s">
        <v>187</v>
      </c>
      <c r="C188">
        <v>29</v>
      </c>
      <c r="D188">
        <v>0</v>
      </c>
      <c r="E188">
        <v>0</v>
      </c>
      <c r="F188">
        <v>0</v>
      </c>
      <c r="G188">
        <v>0</v>
      </c>
      <c r="H188">
        <v>2</v>
      </c>
      <c r="I188">
        <v>18</v>
      </c>
      <c r="J188">
        <v>10</v>
      </c>
      <c r="K188">
        <f t="shared" si="4"/>
        <v>2</v>
      </c>
    </row>
    <row r="189" spans="2:11" x14ac:dyDescent="0.35">
      <c r="B189" t="s">
        <v>188</v>
      </c>
      <c r="C189">
        <v>44</v>
      </c>
      <c r="D189">
        <v>8</v>
      </c>
      <c r="E189">
        <v>0</v>
      </c>
      <c r="F189">
        <v>0</v>
      </c>
      <c r="G189">
        <v>3</v>
      </c>
      <c r="H189">
        <v>12</v>
      </c>
      <c r="I189">
        <v>16</v>
      </c>
      <c r="J189">
        <v>6</v>
      </c>
      <c r="K189">
        <f t="shared" si="4"/>
        <v>4</v>
      </c>
    </row>
    <row r="190" spans="2:11" x14ac:dyDescent="0.35">
      <c r="B190" t="s">
        <v>189</v>
      </c>
      <c r="C190">
        <v>14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8</v>
      </c>
      <c r="J190">
        <v>6</v>
      </c>
      <c r="K190">
        <f t="shared" si="4"/>
        <v>2</v>
      </c>
    </row>
    <row r="191" spans="2:11" x14ac:dyDescent="0.35">
      <c r="B191" t="s">
        <v>190</v>
      </c>
      <c r="C191">
        <v>40</v>
      </c>
      <c r="D191">
        <v>5</v>
      </c>
      <c r="E191">
        <v>1</v>
      </c>
      <c r="F191">
        <v>0</v>
      </c>
      <c r="G191">
        <v>1</v>
      </c>
      <c r="H191">
        <v>0</v>
      </c>
      <c r="I191">
        <v>16</v>
      </c>
      <c r="J191">
        <v>18</v>
      </c>
      <c r="K191">
        <f t="shared" si="4"/>
        <v>4</v>
      </c>
    </row>
    <row r="192" spans="2:11" x14ac:dyDescent="0.35">
      <c r="B192" t="s">
        <v>191</v>
      </c>
      <c r="C192">
        <v>154</v>
      </c>
      <c r="D192">
        <v>6</v>
      </c>
      <c r="E192">
        <v>1</v>
      </c>
      <c r="F192">
        <v>0</v>
      </c>
      <c r="G192">
        <v>5</v>
      </c>
      <c r="H192">
        <v>5</v>
      </c>
      <c r="I192">
        <v>80</v>
      </c>
      <c r="J192">
        <v>58</v>
      </c>
      <c r="K192">
        <f t="shared" si="4"/>
        <v>5</v>
      </c>
    </row>
    <row r="193" spans="2:11" x14ac:dyDescent="0.35">
      <c r="B193" t="s">
        <v>192</v>
      </c>
      <c r="C193">
        <v>85</v>
      </c>
      <c r="D193">
        <v>6</v>
      </c>
      <c r="E193">
        <v>1</v>
      </c>
      <c r="F193">
        <v>0</v>
      </c>
      <c r="G193">
        <v>5</v>
      </c>
      <c r="H193">
        <v>5</v>
      </c>
      <c r="I193">
        <v>40</v>
      </c>
      <c r="J193">
        <v>29</v>
      </c>
      <c r="K193">
        <f t="shared" si="4"/>
        <v>5</v>
      </c>
    </row>
    <row r="194" spans="2:11" x14ac:dyDescent="0.35">
      <c r="B194" t="s">
        <v>193</v>
      </c>
      <c r="C194">
        <v>40</v>
      </c>
      <c r="D194">
        <v>5</v>
      </c>
      <c r="E194">
        <v>0</v>
      </c>
      <c r="F194">
        <v>12</v>
      </c>
      <c r="G194">
        <v>0</v>
      </c>
      <c r="H194">
        <v>2</v>
      </c>
      <c r="I194">
        <v>9</v>
      </c>
      <c r="J194">
        <v>13</v>
      </c>
      <c r="K194">
        <f t="shared" si="4"/>
        <v>4</v>
      </c>
    </row>
    <row r="195" spans="2:11" x14ac:dyDescent="0.35">
      <c r="B195" t="s">
        <v>194</v>
      </c>
      <c r="C195">
        <v>31</v>
      </c>
      <c r="D195">
        <v>2</v>
      </c>
      <c r="E195">
        <v>0</v>
      </c>
      <c r="F195">
        <v>0</v>
      </c>
      <c r="G195">
        <v>8</v>
      </c>
      <c r="H195">
        <v>3</v>
      </c>
      <c r="I195">
        <v>6</v>
      </c>
      <c r="J195">
        <v>13</v>
      </c>
      <c r="K195">
        <f t="shared" si="4"/>
        <v>4</v>
      </c>
    </row>
    <row r="196" spans="2:11" x14ac:dyDescent="0.35">
      <c r="B196" t="s">
        <v>195</v>
      </c>
      <c r="C196">
        <v>22</v>
      </c>
      <c r="D196">
        <v>0</v>
      </c>
      <c r="E196">
        <v>0</v>
      </c>
      <c r="F196">
        <v>0</v>
      </c>
      <c r="G196">
        <v>3</v>
      </c>
      <c r="H196">
        <v>3</v>
      </c>
      <c r="I196">
        <v>6</v>
      </c>
      <c r="J196">
        <v>11</v>
      </c>
      <c r="K196">
        <f t="shared" si="4"/>
        <v>3</v>
      </c>
    </row>
    <row r="197" spans="2:11" x14ac:dyDescent="0.35">
      <c r="B197" t="s">
        <v>196</v>
      </c>
      <c r="C197">
        <v>30</v>
      </c>
      <c r="D197">
        <v>1</v>
      </c>
      <c r="E197">
        <v>0</v>
      </c>
      <c r="F197">
        <v>0</v>
      </c>
      <c r="G197">
        <v>0</v>
      </c>
      <c r="H197">
        <v>5</v>
      </c>
      <c r="I197">
        <v>7</v>
      </c>
      <c r="J197">
        <v>18</v>
      </c>
      <c r="K197">
        <f t="shared" si="4"/>
        <v>3</v>
      </c>
    </row>
    <row r="198" spans="2:11" x14ac:dyDescent="0.35">
      <c r="B198" t="s">
        <v>197</v>
      </c>
      <c r="C198">
        <v>14</v>
      </c>
      <c r="D198">
        <v>6</v>
      </c>
      <c r="E198">
        <v>0</v>
      </c>
      <c r="F198">
        <v>0</v>
      </c>
      <c r="G198">
        <v>0</v>
      </c>
      <c r="H198">
        <v>0</v>
      </c>
      <c r="I198">
        <v>5</v>
      </c>
      <c r="J198">
        <v>4</v>
      </c>
      <c r="K198">
        <f t="shared" si="4"/>
        <v>2</v>
      </c>
    </row>
    <row r="199" spans="2:11" x14ac:dyDescent="0.35">
      <c r="B199" t="s">
        <v>198</v>
      </c>
      <c r="C199">
        <v>21</v>
      </c>
      <c r="D199">
        <v>1</v>
      </c>
      <c r="E199">
        <v>0</v>
      </c>
      <c r="F199">
        <v>0</v>
      </c>
      <c r="G199">
        <v>0</v>
      </c>
      <c r="H199">
        <v>2</v>
      </c>
      <c r="I199">
        <v>10</v>
      </c>
      <c r="J199">
        <v>9</v>
      </c>
      <c r="K199">
        <f t="shared" si="4"/>
        <v>3</v>
      </c>
    </row>
    <row r="200" spans="2:11" x14ac:dyDescent="0.35">
      <c r="B200" t="s">
        <v>199</v>
      </c>
      <c r="C200">
        <v>29</v>
      </c>
      <c r="D200">
        <v>5</v>
      </c>
      <c r="E200">
        <v>0</v>
      </c>
      <c r="F200">
        <v>0</v>
      </c>
      <c r="G200">
        <v>0</v>
      </c>
      <c r="H200">
        <v>1</v>
      </c>
      <c r="I200">
        <v>13</v>
      </c>
      <c r="J200">
        <v>11</v>
      </c>
      <c r="K200">
        <f t="shared" si="4"/>
        <v>3</v>
      </c>
    </row>
    <row r="201" spans="2:11" x14ac:dyDescent="0.35">
      <c r="B201" t="s">
        <v>200</v>
      </c>
      <c r="C201">
        <v>16</v>
      </c>
      <c r="D201">
        <v>5</v>
      </c>
      <c r="E201">
        <v>0</v>
      </c>
      <c r="F201">
        <v>0</v>
      </c>
      <c r="G201">
        <v>0</v>
      </c>
      <c r="H201">
        <v>0</v>
      </c>
      <c r="I201">
        <v>4</v>
      </c>
      <c r="J201">
        <v>8</v>
      </c>
      <c r="K201">
        <f t="shared" si="4"/>
        <v>2</v>
      </c>
    </row>
    <row r="202" spans="2:11" x14ac:dyDescent="0.35">
      <c r="B202" t="s">
        <v>201</v>
      </c>
      <c r="C202">
        <v>12</v>
      </c>
      <c r="D202">
        <v>5</v>
      </c>
      <c r="E202">
        <v>0</v>
      </c>
      <c r="F202">
        <v>0</v>
      </c>
      <c r="G202">
        <v>0</v>
      </c>
      <c r="H202">
        <v>0</v>
      </c>
      <c r="I202">
        <v>5</v>
      </c>
      <c r="J202">
        <v>3</v>
      </c>
      <c r="K202">
        <f t="shared" si="4"/>
        <v>2</v>
      </c>
    </row>
    <row r="203" spans="2:11" x14ac:dyDescent="0.35">
      <c r="B203" t="s">
        <v>202</v>
      </c>
      <c r="C203">
        <v>34</v>
      </c>
      <c r="D203">
        <v>3</v>
      </c>
      <c r="E203">
        <v>0</v>
      </c>
      <c r="F203">
        <v>0</v>
      </c>
      <c r="G203">
        <v>10</v>
      </c>
      <c r="H203">
        <v>1</v>
      </c>
      <c r="I203">
        <v>14</v>
      </c>
      <c r="J203">
        <v>7</v>
      </c>
      <c r="K203">
        <f t="shared" si="4"/>
        <v>4</v>
      </c>
    </row>
    <row r="204" spans="2:11" x14ac:dyDescent="0.35">
      <c r="B204" t="s">
        <v>203</v>
      </c>
      <c r="C204">
        <v>21</v>
      </c>
      <c r="D204">
        <v>0</v>
      </c>
      <c r="E204">
        <v>0</v>
      </c>
      <c r="F204">
        <v>0</v>
      </c>
      <c r="G204">
        <v>5</v>
      </c>
      <c r="H204">
        <v>3</v>
      </c>
      <c r="I204">
        <v>7</v>
      </c>
      <c r="J204">
        <v>7</v>
      </c>
      <c r="K204">
        <f t="shared" ref="K204:K267" si="5">COUNTIF(D204:I204, "&gt;0")</f>
        <v>3</v>
      </c>
    </row>
    <row r="205" spans="2:11" x14ac:dyDescent="0.35">
      <c r="B205" t="s">
        <v>204</v>
      </c>
      <c r="C205">
        <v>4</v>
      </c>
      <c r="D205">
        <v>1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2</v>
      </c>
      <c r="K205">
        <f t="shared" si="5"/>
        <v>3</v>
      </c>
    </row>
    <row r="206" spans="2:11" x14ac:dyDescent="0.35">
      <c r="B206" t="s">
        <v>205</v>
      </c>
      <c r="C206">
        <v>14</v>
      </c>
      <c r="D206">
        <v>2</v>
      </c>
      <c r="E206">
        <v>0</v>
      </c>
      <c r="F206">
        <v>0</v>
      </c>
      <c r="G206">
        <v>2</v>
      </c>
      <c r="H206">
        <v>1</v>
      </c>
      <c r="I206">
        <v>7</v>
      </c>
      <c r="J206">
        <v>3</v>
      </c>
      <c r="K206">
        <f t="shared" si="5"/>
        <v>4</v>
      </c>
    </row>
    <row r="207" spans="2:11" x14ac:dyDescent="0.35">
      <c r="B207" t="s">
        <v>206</v>
      </c>
      <c r="C207">
        <v>23</v>
      </c>
      <c r="D207">
        <v>1</v>
      </c>
      <c r="E207">
        <v>0</v>
      </c>
      <c r="F207">
        <v>0</v>
      </c>
      <c r="G207">
        <v>5</v>
      </c>
      <c r="H207">
        <v>2</v>
      </c>
      <c r="I207">
        <v>8</v>
      </c>
      <c r="J207">
        <v>8</v>
      </c>
      <c r="K207">
        <f t="shared" si="5"/>
        <v>4</v>
      </c>
    </row>
    <row r="208" spans="2:11" x14ac:dyDescent="0.35">
      <c r="B208" t="s">
        <v>207</v>
      </c>
      <c r="C208">
        <v>28</v>
      </c>
      <c r="D208">
        <v>0</v>
      </c>
      <c r="E208">
        <v>0</v>
      </c>
      <c r="F208">
        <v>0</v>
      </c>
      <c r="G208">
        <v>2</v>
      </c>
      <c r="H208">
        <v>1</v>
      </c>
      <c r="I208">
        <v>9</v>
      </c>
      <c r="J208">
        <v>17</v>
      </c>
      <c r="K208">
        <f t="shared" si="5"/>
        <v>3</v>
      </c>
    </row>
    <row r="209" spans="2:11" x14ac:dyDescent="0.35">
      <c r="B209" t="s">
        <v>208</v>
      </c>
      <c r="C209">
        <v>12</v>
      </c>
      <c r="D209">
        <v>0</v>
      </c>
      <c r="E209">
        <v>0</v>
      </c>
      <c r="F209">
        <v>1</v>
      </c>
      <c r="G209">
        <v>1</v>
      </c>
      <c r="H209">
        <v>0</v>
      </c>
      <c r="I209">
        <v>0</v>
      </c>
      <c r="J209">
        <v>11</v>
      </c>
      <c r="K209">
        <f t="shared" si="5"/>
        <v>2</v>
      </c>
    </row>
    <row r="210" spans="2:11" x14ac:dyDescent="0.35">
      <c r="B210" t="s">
        <v>209</v>
      </c>
      <c r="C210">
        <v>45</v>
      </c>
      <c r="D210">
        <v>2</v>
      </c>
      <c r="E210">
        <v>2</v>
      </c>
      <c r="F210">
        <v>4</v>
      </c>
      <c r="G210">
        <v>0</v>
      </c>
      <c r="H210">
        <v>2</v>
      </c>
      <c r="I210">
        <v>12</v>
      </c>
      <c r="J210">
        <v>24</v>
      </c>
      <c r="K210">
        <f t="shared" si="5"/>
        <v>5</v>
      </c>
    </row>
    <row r="211" spans="2:11" x14ac:dyDescent="0.35">
      <c r="B211" t="s">
        <v>210</v>
      </c>
      <c r="C211">
        <v>48</v>
      </c>
      <c r="D211">
        <v>0</v>
      </c>
      <c r="E211">
        <v>0</v>
      </c>
      <c r="F211">
        <v>0</v>
      </c>
      <c r="G211">
        <v>14</v>
      </c>
      <c r="H211">
        <v>9</v>
      </c>
      <c r="I211">
        <v>11</v>
      </c>
      <c r="J211">
        <v>15</v>
      </c>
      <c r="K211">
        <f t="shared" si="5"/>
        <v>3</v>
      </c>
    </row>
    <row r="212" spans="2:11" x14ac:dyDescent="0.35">
      <c r="B212" t="s">
        <v>211</v>
      </c>
      <c r="C212">
        <v>38</v>
      </c>
      <c r="D212">
        <v>10</v>
      </c>
      <c r="E212">
        <v>1</v>
      </c>
      <c r="F212">
        <v>0</v>
      </c>
      <c r="G212">
        <v>0</v>
      </c>
      <c r="H212">
        <v>11</v>
      </c>
      <c r="I212">
        <v>7</v>
      </c>
      <c r="J212">
        <v>10</v>
      </c>
      <c r="K212">
        <f t="shared" si="5"/>
        <v>4</v>
      </c>
    </row>
    <row r="213" spans="2:11" x14ac:dyDescent="0.35">
      <c r="B213" t="s">
        <v>212</v>
      </c>
      <c r="C213">
        <v>19</v>
      </c>
      <c r="D213">
        <v>5</v>
      </c>
      <c r="E213">
        <v>0</v>
      </c>
      <c r="F213">
        <v>0</v>
      </c>
      <c r="G213">
        <v>2</v>
      </c>
      <c r="H213">
        <v>0</v>
      </c>
      <c r="I213">
        <v>9</v>
      </c>
      <c r="J213">
        <v>4</v>
      </c>
      <c r="K213">
        <f t="shared" si="5"/>
        <v>3</v>
      </c>
    </row>
    <row r="214" spans="2:11" x14ac:dyDescent="0.35">
      <c r="B214" t="s">
        <v>213</v>
      </c>
      <c r="C214">
        <v>17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6</v>
      </c>
      <c r="J214">
        <v>11</v>
      </c>
      <c r="K214">
        <f t="shared" si="5"/>
        <v>2</v>
      </c>
    </row>
    <row r="215" spans="2:11" x14ac:dyDescent="0.35">
      <c r="B215" t="s">
        <v>214</v>
      </c>
      <c r="C215">
        <v>31</v>
      </c>
      <c r="D215">
        <v>2</v>
      </c>
      <c r="E215">
        <v>0</v>
      </c>
      <c r="F215">
        <v>0</v>
      </c>
      <c r="G215">
        <v>5</v>
      </c>
      <c r="H215">
        <v>1</v>
      </c>
      <c r="I215">
        <v>17</v>
      </c>
      <c r="J215">
        <v>7</v>
      </c>
      <c r="K215">
        <f t="shared" si="5"/>
        <v>4</v>
      </c>
    </row>
    <row r="216" spans="2:11" x14ac:dyDescent="0.35">
      <c r="B216" t="s">
        <v>215</v>
      </c>
      <c r="C216">
        <v>68</v>
      </c>
      <c r="D216">
        <v>5</v>
      </c>
      <c r="E216">
        <v>0</v>
      </c>
      <c r="F216">
        <v>0</v>
      </c>
      <c r="G216">
        <v>3</v>
      </c>
      <c r="H216">
        <v>19</v>
      </c>
      <c r="I216">
        <v>8</v>
      </c>
      <c r="J216">
        <v>34</v>
      </c>
      <c r="K216">
        <f t="shared" si="5"/>
        <v>4</v>
      </c>
    </row>
    <row r="217" spans="2:11" x14ac:dyDescent="0.35">
      <c r="B217" t="s">
        <v>216</v>
      </c>
      <c r="C217">
        <v>43</v>
      </c>
      <c r="D217">
        <v>4</v>
      </c>
      <c r="E217">
        <v>0</v>
      </c>
      <c r="F217">
        <v>0</v>
      </c>
      <c r="G217">
        <v>5</v>
      </c>
      <c r="H217">
        <v>5</v>
      </c>
      <c r="I217">
        <v>18</v>
      </c>
      <c r="J217">
        <v>12</v>
      </c>
      <c r="K217">
        <f t="shared" si="5"/>
        <v>4</v>
      </c>
    </row>
    <row r="218" spans="2:11" x14ac:dyDescent="0.35">
      <c r="B218" t="s">
        <v>217</v>
      </c>
      <c r="C218">
        <v>53</v>
      </c>
      <c r="D218">
        <v>10</v>
      </c>
      <c r="E218">
        <v>0</v>
      </c>
      <c r="F218">
        <v>0</v>
      </c>
      <c r="G218">
        <v>3</v>
      </c>
      <c r="H218">
        <v>3</v>
      </c>
      <c r="I218">
        <v>11</v>
      </c>
      <c r="J218">
        <v>27</v>
      </c>
      <c r="K218">
        <f t="shared" si="5"/>
        <v>4</v>
      </c>
    </row>
    <row r="219" spans="2:11" x14ac:dyDescent="0.35">
      <c r="B219" t="s">
        <v>218</v>
      </c>
      <c r="C219">
        <v>15</v>
      </c>
      <c r="D219">
        <v>1</v>
      </c>
      <c r="E219">
        <v>0</v>
      </c>
      <c r="F219">
        <v>0</v>
      </c>
      <c r="G219">
        <v>3</v>
      </c>
      <c r="H219">
        <v>3</v>
      </c>
      <c r="I219">
        <v>6</v>
      </c>
      <c r="J219">
        <v>3</v>
      </c>
      <c r="K219">
        <f t="shared" si="5"/>
        <v>4</v>
      </c>
    </row>
    <row r="220" spans="2:11" x14ac:dyDescent="0.35">
      <c r="B220" t="s">
        <v>219</v>
      </c>
      <c r="C220">
        <v>180</v>
      </c>
      <c r="D220">
        <v>8</v>
      </c>
      <c r="E220">
        <v>0</v>
      </c>
      <c r="F220">
        <v>1</v>
      </c>
      <c r="G220">
        <v>6</v>
      </c>
      <c r="H220">
        <v>6</v>
      </c>
      <c r="I220">
        <v>46</v>
      </c>
      <c r="J220">
        <v>114</v>
      </c>
      <c r="K220">
        <f t="shared" si="5"/>
        <v>5</v>
      </c>
    </row>
    <row r="221" spans="2:11" x14ac:dyDescent="0.35">
      <c r="B221" t="s">
        <v>220</v>
      </c>
      <c r="C221">
        <v>9</v>
      </c>
      <c r="D221">
        <v>0</v>
      </c>
      <c r="E221">
        <v>0</v>
      </c>
      <c r="F221">
        <v>1</v>
      </c>
      <c r="G221">
        <v>4</v>
      </c>
      <c r="H221">
        <v>0</v>
      </c>
      <c r="I221">
        <v>1</v>
      </c>
      <c r="J221">
        <v>4</v>
      </c>
      <c r="K221">
        <f t="shared" si="5"/>
        <v>3</v>
      </c>
    </row>
    <row r="222" spans="2:11" x14ac:dyDescent="0.35">
      <c r="B222" t="s">
        <v>221</v>
      </c>
      <c r="C222">
        <v>120</v>
      </c>
      <c r="D222">
        <v>17</v>
      </c>
      <c r="E222">
        <v>1</v>
      </c>
      <c r="F222">
        <v>0</v>
      </c>
      <c r="G222">
        <v>8</v>
      </c>
      <c r="H222">
        <v>4</v>
      </c>
      <c r="I222">
        <v>54</v>
      </c>
      <c r="J222">
        <v>37</v>
      </c>
      <c r="K222">
        <f t="shared" si="5"/>
        <v>5</v>
      </c>
    </row>
    <row r="223" spans="2:11" x14ac:dyDescent="0.35">
      <c r="B223" t="s">
        <v>222</v>
      </c>
      <c r="C223">
        <v>6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2</v>
      </c>
      <c r="J223">
        <v>3</v>
      </c>
      <c r="K223">
        <f t="shared" si="5"/>
        <v>2</v>
      </c>
    </row>
    <row r="224" spans="2:11" x14ac:dyDescent="0.35">
      <c r="B224" t="s">
        <v>223</v>
      </c>
      <c r="C224">
        <v>10</v>
      </c>
      <c r="D224">
        <v>0</v>
      </c>
      <c r="E224">
        <v>0</v>
      </c>
      <c r="F224">
        <v>0</v>
      </c>
      <c r="G224">
        <v>0</v>
      </c>
      <c r="H224">
        <v>2</v>
      </c>
      <c r="I224">
        <v>5</v>
      </c>
      <c r="J224">
        <v>4</v>
      </c>
      <c r="K224">
        <f t="shared" si="5"/>
        <v>2</v>
      </c>
    </row>
    <row r="225" spans="2:11" x14ac:dyDescent="0.35">
      <c r="B225" t="s">
        <v>224</v>
      </c>
      <c r="C225">
        <v>83</v>
      </c>
      <c r="D225">
        <v>1</v>
      </c>
      <c r="E225">
        <v>0</v>
      </c>
      <c r="F225">
        <v>0</v>
      </c>
      <c r="G225">
        <v>2</v>
      </c>
      <c r="H225">
        <v>9</v>
      </c>
      <c r="I225">
        <v>29</v>
      </c>
      <c r="J225">
        <v>43</v>
      </c>
      <c r="K225">
        <f t="shared" si="5"/>
        <v>4</v>
      </c>
    </row>
    <row r="226" spans="2:11" x14ac:dyDescent="0.35">
      <c r="B226" t="s">
        <v>225</v>
      </c>
      <c r="C226">
        <v>13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6</v>
      </c>
      <c r="J226">
        <v>7</v>
      </c>
      <c r="K226">
        <f t="shared" si="5"/>
        <v>2</v>
      </c>
    </row>
    <row r="227" spans="2:11" x14ac:dyDescent="0.35">
      <c r="B227" t="s">
        <v>226</v>
      </c>
      <c r="C227">
        <v>35</v>
      </c>
      <c r="D227">
        <v>1</v>
      </c>
      <c r="E227">
        <v>0</v>
      </c>
      <c r="F227">
        <v>0</v>
      </c>
      <c r="G227">
        <v>1</v>
      </c>
      <c r="H227">
        <v>5</v>
      </c>
      <c r="I227">
        <v>18</v>
      </c>
      <c r="J227">
        <v>11</v>
      </c>
      <c r="K227">
        <f t="shared" si="5"/>
        <v>4</v>
      </c>
    </row>
    <row r="228" spans="2:11" x14ac:dyDescent="0.35">
      <c r="B228" t="s">
        <v>227</v>
      </c>
      <c r="C228">
        <v>7</v>
      </c>
      <c r="D228">
        <v>3</v>
      </c>
      <c r="E228">
        <v>0</v>
      </c>
      <c r="F228">
        <v>1</v>
      </c>
      <c r="G228">
        <v>0</v>
      </c>
      <c r="H228">
        <v>1</v>
      </c>
      <c r="I228">
        <v>0</v>
      </c>
      <c r="J228">
        <v>3</v>
      </c>
      <c r="K228">
        <f t="shared" si="5"/>
        <v>3</v>
      </c>
    </row>
    <row r="229" spans="2:11" x14ac:dyDescent="0.35">
      <c r="B229" t="s">
        <v>228</v>
      </c>
      <c r="C229">
        <v>23</v>
      </c>
      <c r="D229">
        <v>4</v>
      </c>
      <c r="E229">
        <v>0</v>
      </c>
      <c r="F229">
        <v>0</v>
      </c>
      <c r="G229">
        <v>2</v>
      </c>
      <c r="H229">
        <v>0</v>
      </c>
      <c r="I229">
        <v>3</v>
      </c>
      <c r="J229">
        <v>15</v>
      </c>
      <c r="K229">
        <f t="shared" si="5"/>
        <v>3</v>
      </c>
    </row>
    <row r="230" spans="2:11" x14ac:dyDescent="0.35">
      <c r="B230" t="s">
        <v>229</v>
      </c>
      <c r="C230">
        <v>65</v>
      </c>
      <c r="D230">
        <v>6</v>
      </c>
      <c r="E230">
        <v>0</v>
      </c>
      <c r="F230">
        <v>0</v>
      </c>
      <c r="G230">
        <v>2</v>
      </c>
      <c r="H230">
        <v>3</v>
      </c>
      <c r="I230">
        <v>18</v>
      </c>
      <c r="J230">
        <v>37</v>
      </c>
      <c r="K230">
        <f t="shared" si="5"/>
        <v>4</v>
      </c>
    </row>
    <row r="231" spans="2:11" x14ac:dyDescent="0.35">
      <c r="B231" t="s">
        <v>230</v>
      </c>
      <c r="C231">
        <v>80</v>
      </c>
      <c r="D231">
        <v>7</v>
      </c>
      <c r="E231">
        <v>2</v>
      </c>
      <c r="F231">
        <v>1</v>
      </c>
      <c r="G231">
        <v>6</v>
      </c>
      <c r="H231">
        <v>9</v>
      </c>
      <c r="I231">
        <v>26</v>
      </c>
      <c r="J231">
        <v>30</v>
      </c>
      <c r="K231">
        <f t="shared" si="5"/>
        <v>6</v>
      </c>
    </row>
    <row r="232" spans="2:11" x14ac:dyDescent="0.35">
      <c r="B232" t="s">
        <v>231</v>
      </c>
      <c r="C232">
        <v>35</v>
      </c>
      <c r="D232">
        <v>1</v>
      </c>
      <c r="E232">
        <v>0</v>
      </c>
      <c r="F232">
        <v>0</v>
      </c>
      <c r="G232">
        <v>0</v>
      </c>
      <c r="H232">
        <v>15</v>
      </c>
      <c r="I232">
        <v>7</v>
      </c>
      <c r="J232">
        <v>13</v>
      </c>
      <c r="K232">
        <f t="shared" si="5"/>
        <v>3</v>
      </c>
    </row>
    <row r="233" spans="2:11" x14ac:dyDescent="0.35">
      <c r="B233" t="s">
        <v>232</v>
      </c>
      <c r="C233">
        <v>18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9</v>
      </c>
      <c r="J233">
        <v>9</v>
      </c>
      <c r="K233">
        <f t="shared" si="5"/>
        <v>2</v>
      </c>
    </row>
    <row r="234" spans="2:11" x14ac:dyDescent="0.35">
      <c r="B234" t="s">
        <v>233</v>
      </c>
      <c r="C234">
        <v>36</v>
      </c>
      <c r="D234">
        <v>3</v>
      </c>
      <c r="E234">
        <v>3</v>
      </c>
      <c r="F234">
        <v>2</v>
      </c>
      <c r="G234">
        <v>1</v>
      </c>
      <c r="H234">
        <v>0</v>
      </c>
      <c r="I234">
        <v>10</v>
      </c>
      <c r="J234">
        <v>18</v>
      </c>
      <c r="K234">
        <f t="shared" si="5"/>
        <v>5</v>
      </c>
    </row>
    <row r="235" spans="2:11" x14ac:dyDescent="0.35">
      <c r="B235" t="s">
        <v>234</v>
      </c>
      <c r="C235">
        <v>37</v>
      </c>
      <c r="D235">
        <v>3</v>
      </c>
      <c r="E235">
        <v>0</v>
      </c>
      <c r="F235">
        <v>0</v>
      </c>
      <c r="G235">
        <v>0</v>
      </c>
      <c r="H235">
        <v>12</v>
      </c>
      <c r="I235">
        <v>14</v>
      </c>
      <c r="J235">
        <v>9</v>
      </c>
      <c r="K235">
        <f t="shared" si="5"/>
        <v>3</v>
      </c>
    </row>
    <row r="236" spans="2:11" x14ac:dyDescent="0.35">
      <c r="B236" t="s">
        <v>235</v>
      </c>
      <c r="C236">
        <v>111</v>
      </c>
      <c r="D236">
        <v>7</v>
      </c>
      <c r="E236">
        <v>0</v>
      </c>
      <c r="F236">
        <v>2</v>
      </c>
      <c r="G236">
        <v>5</v>
      </c>
      <c r="H236">
        <v>1</v>
      </c>
      <c r="I236">
        <v>28</v>
      </c>
      <c r="J236">
        <v>69</v>
      </c>
      <c r="K236">
        <f t="shared" si="5"/>
        <v>5</v>
      </c>
    </row>
    <row r="237" spans="2:11" x14ac:dyDescent="0.35">
      <c r="B237" t="s">
        <v>236</v>
      </c>
      <c r="C237">
        <v>26</v>
      </c>
      <c r="D237">
        <v>2</v>
      </c>
      <c r="E237">
        <v>1</v>
      </c>
      <c r="F237">
        <v>0</v>
      </c>
      <c r="G237">
        <v>3</v>
      </c>
      <c r="H237">
        <v>1</v>
      </c>
      <c r="I237">
        <v>14</v>
      </c>
      <c r="J237">
        <v>6</v>
      </c>
      <c r="K237">
        <f t="shared" si="5"/>
        <v>5</v>
      </c>
    </row>
    <row r="238" spans="2:11" x14ac:dyDescent="0.35">
      <c r="B238" t="s">
        <v>237</v>
      </c>
      <c r="C238">
        <v>5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4</v>
      </c>
      <c r="K238">
        <f t="shared" si="5"/>
        <v>2</v>
      </c>
    </row>
    <row r="239" spans="2:11" x14ac:dyDescent="0.35">
      <c r="B239" t="s">
        <v>238</v>
      </c>
      <c r="C239">
        <v>22</v>
      </c>
      <c r="D239">
        <v>2</v>
      </c>
      <c r="E239">
        <v>1</v>
      </c>
      <c r="F239">
        <v>0</v>
      </c>
      <c r="G239">
        <v>0</v>
      </c>
      <c r="H239">
        <v>1</v>
      </c>
      <c r="I239">
        <v>6</v>
      </c>
      <c r="J239">
        <v>13</v>
      </c>
      <c r="K239">
        <f t="shared" si="5"/>
        <v>4</v>
      </c>
    </row>
    <row r="240" spans="2:11" x14ac:dyDescent="0.35">
      <c r="B240" t="s">
        <v>239</v>
      </c>
      <c r="C240">
        <v>34</v>
      </c>
      <c r="D240">
        <v>5</v>
      </c>
      <c r="E240">
        <v>0</v>
      </c>
      <c r="F240">
        <v>0</v>
      </c>
      <c r="G240">
        <v>1</v>
      </c>
      <c r="H240">
        <v>11</v>
      </c>
      <c r="I240">
        <v>4</v>
      </c>
      <c r="J240">
        <v>14</v>
      </c>
      <c r="K240">
        <f t="shared" si="5"/>
        <v>4</v>
      </c>
    </row>
    <row r="241" spans="2:11" x14ac:dyDescent="0.35">
      <c r="B241" t="s">
        <v>240</v>
      </c>
      <c r="C241">
        <v>37</v>
      </c>
      <c r="D241">
        <v>0</v>
      </c>
      <c r="E241">
        <v>0</v>
      </c>
      <c r="F241">
        <v>0</v>
      </c>
      <c r="G241">
        <v>5</v>
      </c>
      <c r="H241">
        <v>0</v>
      </c>
      <c r="I241">
        <v>12</v>
      </c>
      <c r="J241">
        <v>21</v>
      </c>
      <c r="K241">
        <f t="shared" si="5"/>
        <v>2</v>
      </c>
    </row>
    <row r="242" spans="2:11" x14ac:dyDescent="0.35">
      <c r="B242" t="s">
        <v>241</v>
      </c>
      <c r="C242">
        <v>71</v>
      </c>
      <c r="D242">
        <v>2</v>
      </c>
      <c r="E242">
        <v>0</v>
      </c>
      <c r="F242">
        <v>0</v>
      </c>
      <c r="G242">
        <v>1</v>
      </c>
      <c r="H242">
        <v>20</v>
      </c>
      <c r="I242">
        <v>24</v>
      </c>
      <c r="J242">
        <v>25</v>
      </c>
      <c r="K242">
        <f t="shared" si="5"/>
        <v>4</v>
      </c>
    </row>
    <row r="243" spans="2:11" x14ac:dyDescent="0.35">
      <c r="B243" t="s">
        <v>242</v>
      </c>
      <c r="C243">
        <v>19</v>
      </c>
      <c r="D243">
        <v>2</v>
      </c>
      <c r="E243">
        <v>0</v>
      </c>
      <c r="F243">
        <v>0</v>
      </c>
      <c r="G243">
        <v>1</v>
      </c>
      <c r="H243">
        <v>3</v>
      </c>
      <c r="I243">
        <v>9</v>
      </c>
      <c r="J243">
        <v>5</v>
      </c>
      <c r="K243">
        <f t="shared" si="5"/>
        <v>4</v>
      </c>
    </row>
    <row r="244" spans="2:11" x14ac:dyDescent="0.35">
      <c r="B244" t="s">
        <v>243</v>
      </c>
      <c r="C244">
        <v>8</v>
      </c>
      <c r="D244">
        <v>1</v>
      </c>
      <c r="E244">
        <v>0</v>
      </c>
      <c r="F244">
        <v>0</v>
      </c>
      <c r="G244">
        <v>0</v>
      </c>
      <c r="H244">
        <v>1</v>
      </c>
      <c r="I244">
        <v>4</v>
      </c>
      <c r="J244">
        <v>3</v>
      </c>
      <c r="K244">
        <f t="shared" si="5"/>
        <v>3</v>
      </c>
    </row>
    <row r="245" spans="2:11" x14ac:dyDescent="0.35">
      <c r="B245" t="s">
        <v>244</v>
      </c>
      <c r="C245">
        <v>20</v>
      </c>
      <c r="D245">
        <v>6</v>
      </c>
      <c r="E245">
        <v>0</v>
      </c>
      <c r="F245">
        <v>0</v>
      </c>
      <c r="G245">
        <v>2</v>
      </c>
      <c r="H245">
        <v>0</v>
      </c>
      <c r="I245">
        <v>9</v>
      </c>
      <c r="J245">
        <v>4</v>
      </c>
      <c r="K245">
        <f t="shared" si="5"/>
        <v>3</v>
      </c>
    </row>
    <row r="246" spans="2:11" x14ac:dyDescent="0.35">
      <c r="B246" t="s">
        <v>245</v>
      </c>
      <c r="C246">
        <v>61</v>
      </c>
      <c r="D246">
        <v>10</v>
      </c>
      <c r="E246">
        <v>0</v>
      </c>
      <c r="F246">
        <v>0</v>
      </c>
      <c r="G246">
        <v>5</v>
      </c>
      <c r="H246">
        <v>12</v>
      </c>
      <c r="I246">
        <v>25</v>
      </c>
      <c r="J246">
        <v>10</v>
      </c>
      <c r="K246">
        <f t="shared" si="5"/>
        <v>4</v>
      </c>
    </row>
    <row r="247" spans="2:11" x14ac:dyDescent="0.35">
      <c r="B247" t="s">
        <v>246</v>
      </c>
      <c r="C247">
        <v>14</v>
      </c>
      <c r="D247">
        <v>0</v>
      </c>
      <c r="E247">
        <v>0</v>
      </c>
      <c r="F247">
        <v>0</v>
      </c>
      <c r="G247">
        <v>0</v>
      </c>
      <c r="H247">
        <v>1</v>
      </c>
      <c r="I247">
        <v>10</v>
      </c>
      <c r="J247">
        <v>4</v>
      </c>
      <c r="K247">
        <f t="shared" si="5"/>
        <v>2</v>
      </c>
    </row>
    <row r="248" spans="2:11" x14ac:dyDescent="0.35">
      <c r="B248" t="s">
        <v>247</v>
      </c>
      <c r="C248">
        <v>39</v>
      </c>
      <c r="D248">
        <v>0</v>
      </c>
      <c r="E248">
        <v>0</v>
      </c>
      <c r="F248">
        <v>0</v>
      </c>
      <c r="G248">
        <v>2</v>
      </c>
      <c r="H248">
        <v>9</v>
      </c>
      <c r="I248">
        <v>15</v>
      </c>
      <c r="J248">
        <v>14</v>
      </c>
      <c r="K248">
        <f t="shared" si="5"/>
        <v>3</v>
      </c>
    </row>
    <row r="249" spans="2:11" x14ac:dyDescent="0.35">
      <c r="B249" t="s">
        <v>248</v>
      </c>
      <c r="C249">
        <v>202</v>
      </c>
      <c r="D249">
        <v>8</v>
      </c>
      <c r="E249">
        <v>0</v>
      </c>
      <c r="F249">
        <v>3</v>
      </c>
      <c r="G249">
        <v>15</v>
      </c>
      <c r="H249">
        <v>36</v>
      </c>
      <c r="I249">
        <v>83</v>
      </c>
      <c r="J249">
        <v>58</v>
      </c>
      <c r="K249">
        <f t="shared" si="5"/>
        <v>5</v>
      </c>
    </row>
    <row r="250" spans="2:11" x14ac:dyDescent="0.35">
      <c r="B250" t="s">
        <v>249</v>
      </c>
      <c r="C250">
        <v>29</v>
      </c>
      <c r="D250">
        <v>4</v>
      </c>
      <c r="E250">
        <v>2</v>
      </c>
      <c r="F250">
        <v>1</v>
      </c>
      <c r="G250">
        <v>0</v>
      </c>
      <c r="H250">
        <v>0</v>
      </c>
      <c r="I250">
        <v>4</v>
      </c>
      <c r="J250">
        <v>19</v>
      </c>
      <c r="K250">
        <f t="shared" si="5"/>
        <v>4</v>
      </c>
    </row>
    <row r="251" spans="2:11" x14ac:dyDescent="0.35">
      <c r="B251" t="s">
        <v>250</v>
      </c>
      <c r="C251">
        <v>27</v>
      </c>
      <c r="D251">
        <v>1</v>
      </c>
      <c r="E251">
        <v>0</v>
      </c>
      <c r="F251">
        <v>0</v>
      </c>
      <c r="G251">
        <v>8</v>
      </c>
      <c r="H251">
        <v>3</v>
      </c>
      <c r="I251">
        <v>14</v>
      </c>
      <c r="J251">
        <v>2</v>
      </c>
      <c r="K251">
        <f t="shared" si="5"/>
        <v>4</v>
      </c>
    </row>
    <row r="252" spans="2:11" x14ac:dyDescent="0.35">
      <c r="B252" t="s">
        <v>251</v>
      </c>
      <c r="C252">
        <v>3</v>
      </c>
      <c r="D252">
        <v>1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2</v>
      </c>
      <c r="K252">
        <f t="shared" si="5"/>
        <v>2</v>
      </c>
    </row>
    <row r="253" spans="2:11" x14ac:dyDescent="0.35">
      <c r="B253" t="s">
        <v>252</v>
      </c>
      <c r="C253">
        <v>5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2</v>
      </c>
      <c r="J253">
        <v>3</v>
      </c>
      <c r="K253">
        <f t="shared" si="5"/>
        <v>2</v>
      </c>
    </row>
    <row r="254" spans="2:11" x14ac:dyDescent="0.35">
      <c r="B254" t="s">
        <v>253</v>
      </c>
      <c r="C254">
        <v>28</v>
      </c>
      <c r="D254">
        <v>3</v>
      </c>
      <c r="E254">
        <v>0</v>
      </c>
      <c r="F254">
        <v>0</v>
      </c>
      <c r="G254">
        <v>0</v>
      </c>
      <c r="H254">
        <v>3</v>
      </c>
      <c r="I254">
        <v>10</v>
      </c>
      <c r="J254">
        <v>13</v>
      </c>
      <c r="K254">
        <f t="shared" si="5"/>
        <v>3</v>
      </c>
    </row>
    <row r="255" spans="2:11" x14ac:dyDescent="0.35">
      <c r="B255" t="s">
        <v>254</v>
      </c>
      <c r="C255">
        <v>16</v>
      </c>
      <c r="D255">
        <v>4</v>
      </c>
      <c r="E255">
        <v>0</v>
      </c>
      <c r="F255">
        <v>0</v>
      </c>
      <c r="G255">
        <v>1</v>
      </c>
      <c r="H255">
        <v>0</v>
      </c>
      <c r="I255">
        <v>7</v>
      </c>
      <c r="J255">
        <v>5</v>
      </c>
      <c r="K255">
        <f t="shared" si="5"/>
        <v>3</v>
      </c>
    </row>
    <row r="256" spans="2:11" x14ac:dyDescent="0.35">
      <c r="B256" t="s">
        <v>255</v>
      </c>
      <c r="C256">
        <v>34</v>
      </c>
      <c r="D256">
        <v>1</v>
      </c>
      <c r="E256">
        <v>0</v>
      </c>
      <c r="F256">
        <v>0</v>
      </c>
      <c r="G256">
        <v>7</v>
      </c>
      <c r="H256">
        <v>1</v>
      </c>
      <c r="I256">
        <v>18</v>
      </c>
      <c r="J256">
        <v>8</v>
      </c>
      <c r="K256">
        <f t="shared" si="5"/>
        <v>4</v>
      </c>
    </row>
    <row r="257" spans="2:11" x14ac:dyDescent="0.35">
      <c r="B257" t="s">
        <v>256</v>
      </c>
      <c r="C257">
        <v>86</v>
      </c>
      <c r="D257">
        <v>2</v>
      </c>
      <c r="E257">
        <v>1</v>
      </c>
      <c r="F257">
        <v>2</v>
      </c>
      <c r="G257">
        <v>0</v>
      </c>
      <c r="H257">
        <v>16</v>
      </c>
      <c r="I257">
        <v>11</v>
      </c>
      <c r="J257">
        <v>55</v>
      </c>
      <c r="K257">
        <f t="shared" si="5"/>
        <v>5</v>
      </c>
    </row>
    <row r="258" spans="2:11" x14ac:dyDescent="0.35">
      <c r="B258" t="s">
        <v>257</v>
      </c>
      <c r="C258">
        <v>70</v>
      </c>
      <c r="D258">
        <v>3</v>
      </c>
      <c r="E258">
        <v>0</v>
      </c>
      <c r="F258">
        <v>1</v>
      </c>
      <c r="G258">
        <v>0</v>
      </c>
      <c r="H258">
        <v>3</v>
      </c>
      <c r="I258">
        <v>16</v>
      </c>
      <c r="J258">
        <v>48</v>
      </c>
      <c r="K258">
        <f t="shared" si="5"/>
        <v>4</v>
      </c>
    </row>
    <row r="259" spans="2:11" x14ac:dyDescent="0.35">
      <c r="B259" t="s">
        <v>258</v>
      </c>
      <c r="C259">
        <v>74</v>
      </c>
      <c r="D259">
        <v>4</v>
      </c>
      <c r="E259">
        <v>1</v>
      </c>
      <c r="F259">
        <v>4</v>
      </c>
      <c r="G259">
        <v>5</v>
      </c>
      <c r="H259">
        <v>6</v>
      </c>
      <c r="I259">
        <v>27</v>
      </c>
      <c r="J259">
        <v>28</v>
      </c>
      <c r="K259">
        <f t="shared" si="5"/>
        <v>6</v>
      </c>
    </row>
    <row r="260" spans="2:11" x14ac:dyDescent="0.35">
      <c r="B260" t="s">
        <v>259</v>
      </c>
      <c r="C260">
        <v>43</v>
      </c>
      <c r="D260">
        <v>1</v>
      </c>
      <c r="E260">
        <v>3</v>
      </c>
      <c r="F260">
        <v>0</v>
      </c>
      <c r="G260">
        <v>0</v>
      </c>
      <c r="H260">
        <v>15</v>
      </c>
      <c r="I260">
        <v>13</v>
      </c>
      <c r="J260">
        <v>12</v>
      </c>
      <c r="K260">
        <f t="shared" si="5"/>
        <v>4</v>
      </c>
    </row>
    <row r="261" spans="2:11" x14ac:dyDescent="0.35">
      <c r="B261" t="s">
        <v>260</v>
      </c>
      <c r="C261">
        <v>44</v>
      </c>
      <c r="D261">
        <v>1</v>
      </c>
      <c r="E261">
        <v>0</v>
      </c>
      <c r="F261">
        <v>0</v>
      </c>
      <c r="G261">
        <v>0</v>
      </c>
      <c r="H261">
        <v>5</v>
      </c>
      <c r="I261">
        <v>13</v>
      </c>
      <c r="J261">
        <v>26</v>
      </c>
      <c r="K261">
        <f t="shared" si="5"/>
        <v>3</v>
      </c>
    </row>
    <row r="262" spans="2:11" x14ac:dyDescent="0.35">
      <c r="B262" t="s">
        <v>261</v>
      </c>
      <c r="C262">
        <v>51</v>
      </c>
      <c r="D262">
        <v>7</v>
      </c>
      <c r="E262">
        <v>1</v>
      </c>
      <c r="F262">
        <v>0</v>
      </c>
      <c r="G262">
        <v>10</v>
      </c>
      <c r="H262">
        <v>2</v>
      </c>
      <c r="I262">
        <v>14</v>
      </c>
      <c r="J262">
        <v>18</v>
      </c>
      <c r="K262">
        <f t="shared" si="5"/>
        <v>5</v>
      </c>
    </row>
    <row r="263" spans="2:11" x14ac:dyDescent="0.35">
      <c r="B263" t="s">
        <v>262</v>
      </c>
      <c r="C263">
        <v>151</v>
      </c>
      <c r="D263">
        <v>10</v>
      </c>
      <c r="E263">
        <v>4</v>
      </c>
      <c r="F263">
        <v>0</v>
      </c>
      <c r="G263">
        <v>16</v>
      </c>
      <c r="H263">
        <v>7</v>
      </c>
      <c r="I263">
        <v>60</v>
      </c>
      <c r="J263">
        <v>55</v>
      </c>
      <c r="K263">
        <f t="shared" si="5"/>
        <v>5</v>
      </c>
    </row>
    <row r="264" spans="2:11" x14ac:dyDescent="0.35">
      <c r="B264" t="s">
        <v>263</v>
      </c>
      <c r="C264">
        <v>25</v>
      </c>
      <c r="D264">
        <v>9</v>
      </c>
      <c r="E264">
        <v>0</v>
      </c>
      <c r="F264">
        <v>0</v>
      </c>
      <c r="G264">
        <v>2</v>
      </c>
      <c r="H264">
        <v>1</v>
      </c>
      <c r="I264">
        <v>8</v>
      </c>
      <c r="J264">
        <v>6</v>
      </c>
      <c r="K264">
        <f t="shared" si="5"/>
        <v>4</v>
      </c>
    </row>
    <row r="265" spans="2:11" x14ac:dyDescent="0.35">
      <c r="B265" t="s">
        <v>264</v>
      </c>
      <c r="C265">
        <v>18</v>
      </c>
      <c r="D265">
        <v>1</v>
      </c>
      <c r="E265">
        <v>0</v>
      </c>
      <c r="F265">
        <v>0</v>
      </c>
      <c r="G265">
        <v>0</v>
      </c>
      <c r="H265">
        <v>8</v>
      </c>
      <c r="I265">
        <v>5</v>
      </c>
      <c r="J265">
        <v>5</v>
      </c>
      <c r="K265">
        <f t="shared" si="5"/>
        <v>3</v>
      </c>
    </row>
    <row r="266" spans="2:11" x14ac:dyDescent="0.35">
      <c r="B266" t="s">
        <v>265</v>
      </c>
      <c r="C266">
        <v>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4</v>
      </c>
      <c r="K266">
        <f t="shared" si="5"/>
        <v>0</v>
      </c>
    </row>
    <row r="267" spans="2:11" x14ac:dyDescent="0.35">
      <c r="B267" t="s">
        <v>266</v>
      </c>
      <c r="C267">
        <v>28</v>
      </c>
      <c r="D267">
        <v>2</v>
      </c>
      <c r="E267">
        <v>0</v>
      </c>
      <c r="F267">
        <v>0</v>
      </c>
      <c r="G267">
        <v>0</v>
      </c>
      <c r="H267">
        <v>3</v>
      </c>
      <c r="I267">
        <v>12</v>
      </c>
      <c r="J267">
        <v>12</v>
      </c>
      <c r="K267">
        <f t="shared" si="5"/>
        <v>3</v>
      </c>
    </row>
    <row r="268" spans="2:11" x14ac:dyDescent="0.35">
      <c r="B268" t="s">
        <v>267</v>
      </c>
      <c r="C268">
        <v>20</v>
      </c>
      <c r="D268">
        <v>2</v>
      </c>
      <c r="E268">
        <v>0</v>
      </c>
      <c r="F268">
        <v>0</v>
      </c>
      <c r="G268">
        <v>7</v>
      </c>
      <c r="H268">
        <v>1</v>
      </c>
      <c r="I268">
        <v>8</v>
      </c>
      <c r="J268">
        <v>3</v>
      </c>
      <c r="K268">
        <f t="shared" ref="K268:K331" si="6">COUNTIF(D268:I268, "&gt;0")</f>
        <v>4</v>
      </c>
    </row>
    <row r="269" spans="2:11" x14ac:dyDescent="0.35">
      <c r="B269" t="s">
        <v>268</v>
      </c>
      <c r="C269">
        <v>52</v>
      </c>
      <c r="D269">
        <v>5</v>
      </c>
      <c r="E269">
        <v>0</v>
      </c>
      <c r="F269">
        <v>0</v>
      </c>
      <c r="G269">
        <v>0</v>
      </c>
      <c r="H269">
        <v>10</v>
      </c>
      <c r="I269">
        <v>15</v>
      </c>
      <c r="J269">
        <v>23</v>
      </c>
      <c r="K269">
        <f t="shared" si="6"/>
        <v>3</v>
      </c>
    </row>
    <row r="270" spans="2:11" x14ac:dyDescent="0.35">
      <c r="B270" t="s">
        <v>269</v>
      </c>
      <c r="C270">
        <v>104</v>
      </c>
      <c r="D270">
        <v>5</v>
      </c>
      <c r="E270">
        <v>2</v>
      </c>
      <c r="F270">
        <v>0</v>
      </c>
      <c r="G270">
        <v>1</v>
      </c>
      <c r="H270">
        <v>11</v>
      </c>
      <c r="I270">
        <v>33</v>
      </c>
      <c r="J270">
        <v>53</v>
      </c>
      <c r="K270">
        <f t="shared" si="6"/>
        <v>5</v>
      </c>
    </row>
    <row r="271" spans="2:11" x14ac:dyDescent="0.35">
      <c r="B271" t="s">
        <v>270</v>
      </c>
      <c r="C271">
        <v>43</v>
      </c>
      <c r="D271">
        <v>0</v>
      </c>
      <c r="E271">
        <v>0</v>
      </c>
      <c r="F271">
        <v>0</v>
      </c>
      <c r="G271">
        <v>3</v>
      </c>
      <c r="H271">
        <v>4</v>
      </c>
      <c r="I271">
        <v>21</v>
      </c>
      <c r="J271">
        <v>16</v>
      </c>
      <c r="K271">
        <f t="shared" si="6"/>
        <v>3</v>
      </c>
    </row>
    <row r="272" spans="2:11" x14ac:dyDescent="0.35">
      <c r="B272" t="s">
        <v>271</v>
      </c>
      <c r="C272">
        <v>93</v>
      </c>
      <c r="D272">
        <v>5</v>
      </c>
      <c r="E272">
        <v>0</v>
      </c>
      <c r="F272">
        <v>0</v>
      </c>
      <c r="G272">
        <v>6</v>
      </c>
      <c r="H272">
        <v>18</v>
      </c>
      <c r="I272">
        <v>26</v>
      </c>
      <c r="J272">
        <v>39</v>
      </c>
      <c r="K272">
        <f t="shared" si="6"/>
        <v>4</v>
      </c>
    </row>
    <row r="273" spans="2:11" x14ac:dyDescent="0.35">
      <c r="B273" t="s">
        <v>272</v>
      </c>
      <c r="C273">
        <v>95</v>
      </c>
      <c r="D273">
        <v>1</v>
      </c>
      <c r="E273">
        <v>0</v>
      </c>
      <c r="F273">
        <v>0</v>
      </c>
      <c r="G273">
        <v>5</v>
      </c>
      <c r="H273">
        <v>14</v>
      </c>
      <c r="I273">
        <v>49</v>
      </c>
      <c r="J273">
        <v>27</v>
      </c>
      <c r="K273">
        <f t="shared" si="6"/>
        <v>4</v>
      </c>
    </row>
    <row r="274" spans="2:11" x14ac:dyDescent="0.35">
      <c r="B274" t="s">
        <v>273</v>
      </c>
      <c r="C274">
        <v>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5</v>
      </c>
      <c r="J274">
        <v>4</v>
      </c>
      <c r="K274">
        <f t="shared" si="6"/>
        <v>1</v>
      </c>
    </row>
    <row r="275" spans="2:11" x14ac:dyDescent="0.35">
      <c r="B275" t="s">
        <v>274</v>
      </c>
      <c r="C275">
        <v>131</v>
      </c>
      <c r="D275">
        <v>11</v>
      </c>
      <c r="E275">
        <v>0</v>
      </c>
      <c r="F275">
        <v>1</v>
      </c>
      <c r="G275">
        <v>7</v>
      </c>
      <c r="H275">
        <v>8</v>
      </c>
      <c r="I275">
        <v>63</v>
      </c>
      <c r="J275">
        <v>42</v>
      </c>
      <c r="K275">
        <f t="shared" si="6"/>
        <v>5</v>
      </c>
    </row>
    <row r="276" spans="2:11" x14ac:dyDescent="0.35">
      <c r="B276" t="s">
        <v>275</v>
      </c>
      <c r="C276">
        <v>67</v>
      </c>
      <c r="D276">
        <v>0</v>
      </c>
      <c r="E276">
        <v>0</v>
      </c>
      <c r="F276">
        <v>0</v>
      </c>
      <c r="G276">
        <v>3</v>
      </c>
      <c r="H276">
        <v>26</v>
      </c>
      <c r="I276">
        <v>13</v>
      </c>
      <c r="J276">
        <v>26</v>
      </c>
      <c r="K276">
        <f t="shared" si="6"/>
        <v>3</v>
      </c>
    </row>
    <row r="277" spans="2:11" x14ac:dyDescent="0.35">
      <c r="B277" t="s">
        <v>276</v>
      </c>
      <c r="C277">
        <v>44</v>
      </c>
      <c r="D277">
        <v>1</v>
      </c>
      <c r="E277">
        <v>0</v>
      </c>
      <c r="F277">
        <v>0</v>
      </c>
      <c r="G277">
        <v>0</v>
      </c>
      <c r="H277">
        <v>28</v>
      </c>
      <c r="I277">
        <v>7</v>
      </c>
      <c r="J277">
        <v>9</v>
      </c>
      <c r="K277">
        <f t="shared" si="6"/>
        <v>3</v>
      </c>
    </row>
    <row r="278" spans="2:11" x14ac:dyDescent="0.35">
      <c r="B278" t="s">
        <v>277</v>
      </c>
      <c r="C278">
        <v>28</v>
      </c>
      <c r="D278">
        <v>3</v>
      </c>
      <c r="E278">
        <v>0</v>
      </c>
      <c r="F278">
        <v>0</v>
      </c>
      <c r="G278">
        <v>4</v>
      </c>
      <c r="H278">
        <v>2</v>
      </c>
      <c r="I278">
        <v>12</v>
      </c>
      <c r="J278">
        <v>8</v>
      </c>
      <c r="K278">
        <f t="shared" si="6"/>
        <v>4</v>
      </c>
    </row>
    <row r="279" spans="2:11" x14ac:dyDescent="0.35">
      <c r="B279" t="s">
        <v>278</v>
      </c>
      <c r="C279">
        <v>23</v>
      </c>
      <c r="D279">
        <v>1</v>
      </c>
      <c r="E279">
        <v>0</v>
      </c>
      <c r="F279">
        <v>0</v>
      </c>
      <c r="G279">
        <v>8</v>
      </c>
      <c r="H279">
        <v>1</v>
      </c>
      <c r="I279">
        <v>9</v>
      </c>
      <c r="J279">
        <v>5</v>
      </c>
      <c r="K279">
        <f t="shared" si="6"/>
        <v>4</v>
      </c>
    </row>
    <row r="280" spans="2:11" x14ac:dyDescent="0.35">
      <c r="B280" t="s">
        <v>279</v>
      </c>
      <c r="C280">
        <v>25</v>
      </c>
      <c r="D280">
        <v>2</v>
      </c>
      <c r="E280">
        <v>1</v>
      </c>
      <c r="F280">
        <v>1</v>
      </c>
      <c r="G280">
        <v>1</v>
      </c>
      <c r="H280">
        <v>5</v>
      </c>
      <c r="I280">
        <v>4</v>
      </c>
      <c r="J280">
        <v>12</v>
      </c>
      <c r="K280">
        <f t="shared" si="6"/>
        <v>6</v>
      </c>
    </row>
    <row r="281" spans="2:11" x14ac:dyDescent="0.35">
      <c r="B281" t="s">
        <v>280</v>
      </c>
      <c r="C281">
        <v>18</v>
      </c>
      <c r="D281">
        <v>3</v>
      </c>
      <c r="E281">
        <v>0</v>
      </c>
      <c r="F281">
        <v>0</v>
      </c>
      <c r="G281">
        <v>5</v>
      </c>
      <c r="H281">
        <v>2</v>
      </c>
      <c r="I281">
        <v>3</v>
      </c>
      <c r="J281">
        <v>6</v>
      </c>
      <c r="K281">
        <f t="shared" si="6"/>
        <v>4</v>
      </c>
    </row>
    <row r="282" spans="2:11" x14ac:dyDescent="0.35">
      <c r="B282" t="s">
        <v>281</v>
      </c>
      <c r="C282">
        <v>12</v>
      </c>
      <c r="D282">
        <v>1</v>
      </c>
      <c r="E282">
        <v>0</v>
      </c>
      <c r="F282">
        <v>0</v>
      </c>
      <c r="G282">
        <v>0</v>
      </c>
      <c r="H282">
        <v>0</v>
      </c>
      <c r="I282">
        <v>4</v>
      </c>
      <c r="J282">
        <v>8</v>
      </c>
      <c r="K282">
        <f t="shared" si="6"/>
        <v>2</v>
      </c>
    </row>
    <row r="283" spans="2:11" x14ac:dyDescent="0.35">
      <c r="B283" t="s">
        <v>282</v>
      </c>
      <c r="C283">
        <v>12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4</v>
      </c>
      <c r="J283">
        <v>8</v>
      </c>
      <c r="K283">
        <f t="shared" si="6"/>
        <v>2</v>
      </c>
    </row>
    <row r="284" spans="2:11" x14ac:dyDescent="0.35">
      <c r="B284" t="s">
        <v>283</v>
      </c>
      <c r="C284">
        <v>29</v>
      </c>
      <c r="D284">
        <v>1</v>
      </c>
      <c r="E284">
        <v>0</v>
      </c>
      <c r="F284">
        <v>0</v>
      </c>
      <c r="G284">
        <v>0</v>
      </c>
      <c r="H284">
        <v>3</v>
      </c>
      <c r="I284">
        <v>8</v>
      </c>
      <c r="J284">
        <v>18</v>
      </c>
      <c r="K284">
        <f t="shared" si="6"/>
        <v>3</v>
      </c>
    </row>
    <row r="285" spans="2:11" x14ac:dyDescent="0.35">
      <c r="B285" t="s">
        <v>284</v>
      </c>
      <c r="C285">
        <v>91</v>
      </c>
      <c r="D285">
        <v>13</v>
      </c>
      <c r="E285">
        <v>0</v>
      </c>
      <c r="F285">
        <v>0</v>
      </c>
      <c r="G285">
        <v>10</v>
      </c>
      <c r="H285">
        <v>9</v>
      </c>
      <c r="I285">
        <v>40</v>
      </c>
      <c r="J285">
        <v>20</v>
      </c>
      <c r="K285">
        <f t="shared" si="6"/>
        <v>4</v>
      </c>
    </row>
    <row r="286" spans="2:11" x14ac:dyDescent="0.35">
      <c r="B286" t="s">
        <v>285</v>
      </c>
      <c r="C286">
        <v>5</v>
      </c>
      <c r="D286">
        <v>1</v>
      </c>
      <c r="E286">
        <v>0</v>
      </c>
      <c r="F286">
        <v>0</v>
      </c>
      <c r="G286">
        <v>1</v>
      </c>
      <c r="H286">
        <v>0</v>
      </c>
      <c r="I286">
        <v>3</v>
      </c>
      <c r="J286">
        <v>1</v>
      </c>
      <c r="K286">
        <f t="shared" si="6"/>
        <v>3</v>
      </c>
    </row>
    <row r="287" spans="2:11" x14ac:dyDescent="0.35">
      <c r="B287" t="s">
        <v>286</v>
      </c>
      <c r="C287">
        <v>45</v>
      </c>
      <c r="D287">
        <v>6</v>
      </c>
      <c r="E287">
        <v>0</v>
      </c>
      <c r="F287">
        <v>0</v>
      </c>
      <c r="G287">
        <v>12</v>
      </c>
      <c r="H287">
        <v>4</v>
      </c>
      <c r="I287">
        <v>8</v>
      </c>
      <c r="J287">
        <v>16</v>
      </c>
      <c r="K287">
        <f t="shared" si="6"/>
        <v>4</v>
      </c>
    </row>
    <row r="288" spans="2:11" x14ac:dyDescent="0.35">
      <c r="B288" t="s">
        <v>287</v>
      </c>
      <c r="C288">
        <v>83</v>
      </c>
      <c r="D288">
        <v>1</v>
      </c>
      <c r="E288">
        <v>1</v>
      </c>
      <c r="F288">
        <v>0</v>
      </c>
      <c r="G288">
        <v>0</v>
      </c>
      <c r="H288">
        <v>32</v>
      </c>
      <c r="I288">
        <v>12</v>
      </c>
      <c r="J288">
        <v>38</v>
      </c>
      <c r="K288">
        <f t="shared" si="6"/>
        <v>4</v>
      </c>
    </row>
    <row r="289" spans="2:11" x14ac:dyDescent="0.35">
      <c r="B289" t="s">
        <v>288</v>
      </c>
      <c r="C289">
        <v>98</v>
      </c>
      <c r="D289">
        <v>1</v>
      </c>
      <c r="E289">
        <v>0</v>
      </c>
      <c r="F289">
        <v>0</v>
      </c>
      <c r="G289">
        <v>2</v>
      </c>
      <c r="H289">
        <v>8</v>
      </c>
      <c r="I289">
        <v>77</v>
      </c>
      <c r="J289">
        <v>11</v>
      </c>
      <c r="K289">
        <f t="shared" si="6"/>
        <v>4</v>
      </c>
    </row>
    <row r="290" spans="2:11" x14ac:dyDescent="0.35">
      <c r="B290" t="s">
        <v>289</v>
      </c>
      <c r="C290">
        <v>19</v>
      </c>
      <c r="D290">
        <v>0</v>
      </c>
      <c r="E290">
        <v>0</v>
      </c>
      <c r="F290">
        <v>0</v>
      </c>
      <c r="G290">
        <v>1</v>
      </c>
      <c r="H290">
        <v>2</v>
      </c>
      <c r="I290">
        <v>9</v>
      </c>
      <c r="J290">
        <v>8</v>
      </c>
      <c r="K290">
        <f t="shared" si="6"/>
        <v>3</v>
      </c>
    </row>
    <row r="291" spans="2:11" x14ac:dyDescent="0.35">
      <c r="B291" t="s">
        <v>290</v>
      </c>
      <c r="C291">
        <v>21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10</v>
      </c>
      <c r="J291">
        <v>9</v>
      </c>
      <c r="K291">
        <f t="shared" si="6"/>
        <v>3</v>
      </c>
    </row>
    <row r="292" spans="2:11" x14ac:dyDescent="0.35">
      <c r="B292" t="s">
        <v>291</v>
      </c>
      <c r="C292">
        <v>12</v>
      </c>
      <c r="D292">
        <v>0</v>
      </c>
      <c r="E292">
        <v>0</v>
      </c>
      <c r="F292">
        <v>0</v>
      </c>
      <c r="G292">
        <v>0</v>
      </c>
      <c r="H292">
        <v>5</v>
      </c>
      <c r="I292">
        <v>3</v>
      </c>
      <c r="J292">
        <v>5</v>
      </c>
      <c r="K292">
        <f t="shared" si="6"/>
        <v>2</v>
      </c>
    </row>
    <row r="293" spans="2:11" x14ac:dyDescent="0.35">
      <c r="B293" t="s">
        <v>292</v>
      </c>
      <c r="C293">
        <v>136</v>
      </c>
      <c r="D293">
        <v>1</v>
      </c>
      <c r="E293">
        <v>0</v>
      </c>
      <c r="F293">
        <v>0</v>
      </c>
      <c r="G293">
        <v>5</v>
      </c>
      <c r="H293">
        <v>19</v>
      </c>
      <c r="I293">
        <v>90</v>
      </c>
      <c r="J293">
        <v>22</v>
      </c>
      <c r="K293">
        <f t="shared" si="6"/>
        <v>4</v>
      </c>
    </row>
    <row r="294" spans="2:11" x14ac:dyDescent="0.35">
      <c r="B294" t="s">
        <v>293</v>
      </c>
      <c r="C294">
        <v>16</v>
      </c>
      <c r="D294">
        <v>1</v>
      </c>
      <c r="E294">
        <v>0</v>
      </c>
      <c r="F294">
        <v>0</v>
      </c>
      <c r="G294">
        <v>0</v>
      </c>
      <c r="H294">
        <v>2</v>
      </c>
      <c r="I294">
        <v>6</v>
      </c>
      <c r="J294">
        <v>8</v>
      </c>
      <c r="K294">
        <f t="shared" si="6"/>
        <v>3</v>
      </c>
    </row>
    <row r="295" spans="2:11" x14ac:dyDescent="0.35">
      <c r="B295" t="s">
        <v>294</v>
      </c>
      <c r="C295">
        <v>36</v>
      </c>
      <c r="D295">
        <v>9</v>
      </c>
      <c r="E295">
        <v>0</v>
      </c>
      <c r="F295">
        <v>1</v>
      </c>
      <c r="G295">
        <v>1</v>
      </c>
      <c r="H295">
        <v>1</v>
      </c>
      <c r="I295">
        <v>12</v>
      </c>
      <c r="J295">
        <v>13</v>
      </c>
      <c r="K295">
        <f t="shared" si="6"/>
        <v>5</v>
      </c>
    </row>
    <row r="296" spans="2:11" x14ac:dyDescent="0.35">
      <c r="B296" t="s">
        <v>295</v>
      </c>
      <c r="C296">
        <v>47</v>
      </c>
      <c r="D296">
        <v>3</v>
      </c>
      <c r="E296">
        <v>0</v>
      </c>
      <c r="F296">
        <v>0</v>
      </c>
      <c r="G296">
        <v>10</v>
      </c>
      <c r="H296">
        <v>9</v>
      </c>
      <c r="I296">
        <v>14</v>
      </c>
      <c r="J296">
        <v>12</v>
      </c>
      <c r="K296">
        <f t="shared" si="6"/>
        <v>4</v>
      </c>
    </row>
    <row r="297" spans="2:11" x14ac:dyDescent="0.35">
      <c r="B297" t="s">
        <v>296</v>
      </c>
      <c r="C297">
        <v>9</v>
      </c>
      <c r="D297">
        <v>1</v>
      </c>
      <c r="E297">
        <v>0</v>
      </c>
      <c r="F297">
        <v>0</v>
      </c>
      <c r="G297">
        <v>0</v>
      </c>
      <c r="H297">
        <v>1</v>
      </c>
      <c r="I297">
        <v>3</v>
      </c>
      <c r="J297">
        <v>5</v>
      </c>
      <c r="K297">
        <f t="shared" si="6"/>
        <v>3</v>
      </c>
    </row>
    <row r="298" spans="2:11" x14ac:dyDescent="0.35">
      <c r="B298" t="s">
        <v>297</v>
      </c>
      <c r="C298">
        <v>112</v>
      </c>
      <c r="D298">
        <v>1</v>
      </c>
      <c r="E298">
        <v>0</v>
      </c>
      <c r="F298">
        <v>0</v>
      </c>
      <c r="G298">
        <v>2</v>
      </c>
      <c r="H298">
        <v>29</v>
      </c>
      <c r="I298">
        <v>25</v>
      </c>
      <c r="J298">
        <v>56</v>
      </c>
      <c r="K298">
        <f t="shared" si="6"/>
        <v>4</v>
      </c>
    </row>
    <row r="299" spans="2:11" x14ac:dyDescent="0.35">
      <c r="B299" t="s">
        <v>298</v>
      </c>
      <c r="C299">
        <v>16</v>
      </c>
      <c r="D299">
        <v>1</v>
      </c>
      <c r="E299">
        <v>0</v>
      </c>
      <c r="F299">
        <v>1</v>
      </c>
      <c r="G299">
        <v>0</v>
      </c>
      <c r="H299">
        <v>1</v>
      </c>
      <c r="I299">
        <v>2</v>
      </c>
      <c r="J299">
        <v>12</v>
      </c>
      <c r="K299">
        <f t="shared" si="6"/>
        <v>4</v>
      </c>
    </row>
    <row r="300" spans="2:11" x14ac:dyDescent="0.35">
      <c r="B300" t="s">
        <v>299</v>
      </c>
      <c r="C300">
        <v>16</v>
      </c>
      <c r="D300">
        <v>1</v>
      </c>
      <c r="E300">
        <v>0</v>
      </c>
      <c r="F300">
        <v>0</v>
      </c>
      <c r="G300">
        <v>0</v>
      </c>
      <c r="H300">
        <v>5</v>
      </c>
      <c r="I300">
        <v>3</v>
      </c>
      <c r="J300">
        <v>8</v>
      </c>
      <c r="K300">
        <f t="shared" si="6"/>
        <v>3</v>
      </c>
    </row>
    <row r="301" spans="2:11" x14ac:dyDescent="0.35">
      <c r="B301" t="s">
        <v>300</v>
      </c>
      <c r="C301">
        <v>11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3</v>
      </c>
      <c r="J301">
        <v>8</v>
      </c>
      <c r="K301">
        <f t="shared" si="6"/>
        <v>2</v>
      </c>
    </row>
    <row r="302" spans="2:11" x14ac:dyDescent="0.35">
      <c r="B302" t="s">
        <v>301</v>
      </c>
      <c r="C302">
        <v>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3</v>
      </c>
      <c r="J302">
        <v>2</v>
      </c>
      <c r="K302">
        <f t="shared" si="6"/>
        <v>1</v>
      </c>
    </row>
    <row r="303" spans="2:11" x14ac:dyDescent="0.35">
      <c r="B303" t="s">
        <v>302</v>
      </c>
      <c r="C303">
        <v>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3</v>
      </c>
      <c r="J303">
        <v>2</v>
      </c>
      <c r="K303">
        <f t="shared" si="6"/>
        <v>1</v>
      </c>
    </row>
    <row r="304" spans="2:11" x14ac:dyDescent="0.35">
      <c r="B304" t="s">
        <v>303</v>
      </c>
      <c r="C304">
        <v>10</v>
      </c>
      <c r="D304">
        <v>0</v>
      </c>
      <c r="E304">
        <v>0</v>
      </c>
      <c r="F304">
        <v>0</v>
      </c>
      <c r="G304">
        <v>1</v>
      </c>
      <c r="H304">
        <v>1</v>
      </c>
      <c r="I304">
        <v>5</v>
      </c>
      <c r="J304">
        <v>4</v>
      </c>
      <c r="K304">
        <f t="shared" si="6"/>
        <v>3</v>
      </c>
    </row>
    <row r="305" spans="2:11" x14ac:dyDescent="0.35">
      <c r="B305" t="s">
        <v>304</v>
      </c>
      <c r="C305">
        <v>20</v>
      </c>
      <c r="D305">
        <v>1</v>
      </c>
      <c r="E305">
        <v>0</v>
      </c>
      <c r="F305">
        <v>0</v>
      </c>
      <c r="G305">
        <v>3</v>
      </c>
      <c r="H305">
        <v>2</v>
      </c>
      <c r="I305">
        <v>5</v>
      </c>
      <c r="J305">
        <v>10</v>
      </c>
      <c r="K305">
        <f t="shared" si="6"/>
        <v>4</v>
      </c>
    </row>
    <row r="306" spans="2:11" x14ac:dyDescent="0.35">
      <c r="B306" t="s">
        <v>305</v>
      </c>
      <c r="C306">
        <v>15</v>
      </c>
      <c r="D306">
        <v>2</v>
      </c>
      <c r="E306">
        <v>1</v>
      </c>
      <c r="F306">
        <v>0</v>
      </c>
      <c r="G306">
        <v>1</v>
      </c>
      <c r="H306">
        <v>1</v>
      </c>
      <c r="I306">
        <v>4</v>
      </c>
      <c r="J306">
        <v>7</v>
      </c>
      <c r="K306">
        <f t="shared" si="6"/>
        <v>5</v>
      </c>
    </row>
    <row r="307" spans="2:11" x14ac:dyDescent="0.35">
      <c r="B307" t="s">
        <v>306</v>
      </c>
      <c r="C307">
        <v>63</v>
      </c>
      <c r="D307">
        <v>1</v>
      </c>
      <c r="E307">
        <v>0</v>
      </c>
      <c r="F307">
        <v>0</v>
      </c>
      <c r="G307">
        <v>6</v>
      </c>
      <c r="H307">
        <v>5</v>
      </c>
      <c r="I307">
        <v>7</v>
      </c>
      <c r="J307">
        <v>45</v>
      </c>
      <c r="K307">
        <f t="shared" si="6"/>
        <v>4</v>
      </c>
    </row>
    <row r="308" spans="2:11" x14ac:dyDescent="0.35">
      <c r="B308" t="s">
        <v>307</v>
      </c>
      <c r="C308">
        <v>125</v>
      </c>
      <c r="D308">
        <v>4</v>
      </c>
      <c r="E308">
        <v>1</v>
      </c>
      <c r="F308">
        <v>2</v>
      </c>
      <c r="G308">
        <v>11</v>
      </c>
      <c r="H308">
        <v>8</v>
      </c>
      <c r="I308">
        <v>48</v>
      </c>
      <c r="J308">
        <v>52</v>
      </c>
      <c r="K308">
        <f t="shared" si="6"/>
        <v>6</v>
      </c>
    </row>
    <row r="309" spans="2:11" x14ac:dyDescent="0.35">
      <c r="B309" t="s">
        <v>308</v>
      </c>
      <c r="C309">
        <v>29</v>
      </c>
      <c r="D309">
        <v>3</v>
      </c>
      <c r="E309">
        <v>0</v>
      </c>
      <c r="F309">
        <v>0</v>
      </c>
      <c r="G309">
        <v>0</v>
      </c>
      <c r="H309">
        <v>2</v>
      </c>
      <c r="I309">
        <v>3</v>
      </c>
      <c r="J309">
        <v>22</v>
      </c>
      <c r="K309">
        <f t="shared" si="6"/>
        <v>3</v>
      </c>
    </row>
    <row r="310" spans="2:11" x14ac:dyDescent="0.35">
      <c r="B310" t="s">
        <v>309</v>
      </c>
      <c r="C310">
        <v>73</v>
      </c>
      <c r="D310">
        <v>0</v>
      </c>
      <c r="E310">
        <v>1</v>
      </c>
      <c r="F310">
        <v>0</v>
      </c>
      <c r="G310">
        <v>9</v>
      </c>
      <c r="H310">
        <v>10</v>
      </c>
      <c r="I310">
        <v>24</v>
      </c>
      <c r="J310">
        <v>30</v>
      </c>
      <c r="K310">
        <f t="shared" si="6"/>
        <v>4</v>
      </c>
    </row>
    <row r="311" spans="2:11" x14ac:dyDescent="0.35">
      <c r="B311" t="s">
        <v>310</v>
      </c>
      <c r="C311">
        <v>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3</v>
      </c>
      <c r="J311">
        <v>6</v>
      </c>
      <c r="K311">
        <f t="shared" si="6"/>
        <v>1</v>
      </c>
    </row>
    <row r="312" spans="2:11" x14ac:dyDescent="0.35">
      <c r="B312" t="s">
        <v>311</v>
      </c>
      <c r="C312">
        <v>54</v>
      </c>
      <c r="D312">
        <v>2</v>
      </c>
      <c r="E312">
        <v>0</v>
      </c>
      <c r="F312">
        <v>2</v>
      </c>
      <c r="G312">
        <v>1</v>
      </c>
      <c r="H312">
        <v>18</v>
      </c>
      <c r="I312">
        <v>6</v>
      </c>
      <c r="J312">
        <v>26</v>
      </c>
      <c r="K312">
        <f t="shared" si="6"/>
        <v>5</v>
      </c>
    </row>
    <row r="313" spans="2:11" x14ac:dyDescent="0.35">
      <c r="B313" t="s">
        <v>312</v>
      </c>
      <c r="C313">
        <v>32</v>
      </c>
      <c r="D313">
        <v>3</v>
      </c>
      <c r="E313">
        <v>0</v>
      </c>
      <c r="F313">
        <v>0</v>
      </c>
      <c r="G313">
        <v>0</v>
      </c>
      <c r="H313">
        <v>2</v>
      </c>
      <c r="I313">
        <v>13</v>
      </c>
      <c r="J313">
        <v>15</v>
      </c>
      <c r="K313">
        <f t="shared" si="6"/>
        <v>3</v>
      </c>
    </row>
    <row r="314" spans="2:11" x14ac:dyDescent="0.35">
      <c r="B314" t="s">
        <v>313</v>
      </c>
      <c r="C314">
        <v>24</v>
      </c>
      <c r="D314">
        <v>1</v>
      </c>
      <c r="E314">
        <v>0</v>
      </c>
      <c r="F314">
        <v>0</v>
      </c>
      <c r="G314">
        <v>3</v>
      </c>
      <c r="H314">
        <v>4</v>
      </c>
      <c r="I314">
        <v>11</v>
      </c>
      <c r="J314">
        <v>6</v>
      </c>
      <c r="K314">
        <f t="shared" si="6"/>
        <v>4</v>
      </c>
    </row>
    <row r="315" spans="2:11" x14ac:dyDescent="0.35">
      <c r="B315" t="s">
        <v>314</v>
      </c>
      <c r="C315">
        <v>21</v>
      </c>
      <c r="D315">
        <v>2</v>
      </c>
      <c r="E315">
        <v>1</v>
      </c>
      <c r="F315">
        <v>0</v>
      </c>
      <c r="G315">
        <v>0</v>
      </c>
      <c r="H315">
        <v>4</v>
      </c>
      <c r="I315">
        <v>1</v>
      </c>
      <c r="J315">
        <v>14</v>
      </c>
      <c r="K315">
        <f t="shared" si="6"/>
        <v>4</v>
      </c>
    </row>
    <row r="316" spans="2:11" x14ac:dyDescent="0.35">
      <c r="B316" t="s">
        <v>315</v>
      </c>
      <c r="C316">
        <v>3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1</v>
      </c>
      <c r="J316">
        <v>3</v>
      </c>
      <c r="K316">
        <f t="shared" si="6"/>
        <v>1</v>
      </c>
    </row>
    <row r="317" spans="2:11" x14ac:dyDescent="0.35">
      <c r="B317" t="s">
        <v>316</v>
      </c>
      <c r="C317">
        <v>202</v>
      </c>
      <c r="D317">
        <v>8</v>
      </c>
      <c r="E317">
        <v>3</v>
      </c>
      <c r="F317">
        <v>0</v>
      </c>
      <c r="G317">
        <v>13</v>
      </c>
      <c r="H317">
        <v>40</v>
      </c>
      <c r="I317">
        <v>59</v>
      </c>
      <c r="J317">
        <v>80</v>
      </c>
      <c r="K317">
        <f t="shared" si="6"/>
        <v>5</v>
      </c>
    </row>
    <row r="318" spans="2:11" x14ac:dyDescent="0.35">
      <c r="B318" t="s">
        <v>317</v>
      </c>
      <c r="C318">
        <v>33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8</v>
      </c>
      <c r="J318">
        <v>25</v>
      </c>
      <c r="K318">
        <f t="shared" si="6"/>
        <v>2</v>
      </c>
    </row>
    <row r="319" spans="2:11" x14ac:dyDescent="0.35">
      <c r="B319" t="s">
        <v>318</v>
      </c>
      <c r="C319">
        <v>33</v>
      </c>
      <c r="D319">
        <v>1</v>
      </c>
      <c r="E319">
        <v>0</v>
      </c>
      <c r="F319">
        <v>2</v>
      </c>
      <c r="G319">
        <v>0</v>
      </c>
      <c r="H319">
        <v>5</v>
      </c>
      <c r="I319">
        <v>10</v>
      </c>
      <c r="J319">
        <v>16</v>
      </c>
      <c r="K319">
        <f t="shared" si="6"/>
        <v>4</v>
      </c>
    </row>
    <row r="320" spans="2:11" x14ac:dyDescent="0.35">
      <c r="B320" t="s">
        <v>319</v>
      </c>
      <c r="C320">
        <v>17</v>
      </c>
      <c r="D320">
        <v>1</v>
      </c>
      <c r="E320">
        <v>0</v>
      </c>
      <c r="F320">
        <v>0</v>
      </c>
      <c r="G320">
        <v>0</v>
      </c>
      <c r="H320">
        <v>2</v>
      </c>
      <c r="I320">
        <v>1</v>
      </c>
      <c r="J320">
        <v>14</v>
      </c>
      <c r="K320">
        <f t="shared" si="6"/>
        <v>3</v>
      </c>
    </row>
    <row r="321" spans="2:11" x14ac:dyDescent="0.35">
      <c r="B321" t="s">
        <v>320</v>
      </c>
      <c r="C321">
        <v>23</v>
      </c>
      <c r="D321">
        <v>0</v>
      </c>
      <c r="E321">
        <v>0</v>
      </c>
      <c r="F321">
        <v>0</v>
      </c>
      <c r="G321">
        <v>0</v>
      </c>
      <c r="H321">
        <v>1</v>
      </c>
      <c r="I321">
        <v>8</v>
      </c>
      <c r="J321">
        <v>15</v>
      </c>
      <c r="K321">
        <f t="shared" si="6"/>
        <v>2</v>
      </c>
    </row>
    <row r="322" spans="2:11" x14ac:dyDescent="0.35">
      <c r="B322" t="s">
        <v>321</v>
      </c>
      <c r="C322">
        <v>15</v>
      </c>
      <c r="D322">
        <v>2</v>
      </c>
      <c r="E322">
        <v>0</v>
      </c>
      <c r="F322">
        <v>1</v>
      </c>
      <c r="G322">
        <v>0</v>
      </c>
      <c r="H322">
        <v>3</v>
      </c>
      <c r="I322">
        <v>6</v>
      </c>
      <c r="J322">
        <v>4</v>
      </c>
      <c r="K322">
        <f t="shared" si="6"/>
        <v>4</v>
      </c>
    </row>
    <row r="323" spans="2:11" x14ac:dyDescent="0.35">
      <c r="B323" t="s">
        <v>322</v>
      </c>
      <c r="C323">
        <v>14</v>
      </c>
      <c r="D323">
        <v>2</v>
      </c>
      <c r="E323">
        <v>0</v>
      </c>
      <c r="F323">
        <v>1</v>
      </c>
      <c r="G323">
        <v>0</v>
      </c>
      <c r="H323">
        <v>3</v>
      </c>
      <c r="I323">
        <v>6</v>
      </c>
      <c r="J323">
        <v>3</v>
      </c>
      <c r="K323">
        <f t="shared" si="6"/>
        <v>4</v>
      </c>
    </row>
    <row r="324" spans="2:11" x14ac:dyDescent="0.35">
      <c r="B324" t="s">
        <v>323</v>
      </c>
      <c r="C324">
        <v>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6</v>
      </c>
      <c r="K324">
        <f t="shared" si="6"/>
        <v>0</v>
      </c>
    </row>
    <row r="325" spans="2:11" x14ac:dyDescent="0.35">
      <c r="B325" t="s">
        <v>324</v>
      </c>
      <c r="C325">
        <v>15</v>
      </c>
      <c r="D325">
        <v>2</v>
      </c>
      <c r="E325">
        <v>0</v>
      </c>
      <c r="F325">
        <v>0</v>
      </c>
      <c r="G325">
        <v>0</v>
      </c>
      <c r="H325">
        <v>0</v>
      </c>
      <c r="I325">
        <v>5</v>
      </c>
      <c r="J325">
        <v>9</v>
      </c>
      <c r="K325">
        <f t="shared" si="6"/>
        <v>2</v>
      </c>
    </row>
    <row r="326" spans="2:11" x14ac:dyDescent="0.35">
      <c r="B326" t="s">
        <v>325</v>
      </c>
      <c r="C326">
        <v>23</v>
      </c>
      <c r="D326">
        <v>3</v>
      </c>
      <c r="E326">
        <v>0</v>
      </c>
      <c r="F326">
        <v>0</v>
      </c>
      <c r="G326">
        <v>0</v>
      </c>
      <c r="H326">
        <v>0</v>
      </c>
      <c r="I326">
        <v>5</v>
      </c>
      <c r="J326">
        <v>16</v>
      </c>
      <c r="K326">
        <f t="shared" si="6"/>
        <v>2</v>
      </c>
    </row>
    <row r="327" spans="2:11" x14ac:dyDescent="0.35">
      <c r="B327" t="s">
        <v>326</v>
      </c>
      <c r="C327">
        <v>88</v>
      </c>
      <c r="D327">
        <v>3</v>
      </c>
      <c r="E327">
        <v>1</v>
      </c>
      <c r="F327">
        <v>1</v>
      </c>
      <c r="G327">
        <v>6</v>
      </c>
      <c r="H327">
        <v>12</v>
      </c>
      <c r="I327">
        <v>25</v>
      </c>
      <c r="J327">
        <v>41</v>
      </c>
      <c r="K327">
        <f t="shared" si="6"/>
        <v>6</v>
      </c>
    </row>
    <row r="328" spans="2:11" x14ac:dyDescent="0.35">
      <c r="B328" t="s">
        <v>327</v>
      </c>
      <c r="C328">
        <v>17</v>
      </c>
      <c r="D328">
        <v>2</v>
      </c>
      <c r="E328">
        <v>0</v>
      </c>
      <c r="F328">
        <v>1</v>
      </c>
      <c r="G328">
        <v>0</v>
      </c>
      <c r="H328">
        <v>1</v>
      </c>
      <c r="I328">
        <v>6</v>
      </c>
      <c r="J328">
        <v>8</v>
      </c>
      <c r="K328">
        <f t="shared" si="6"/>
        <v>4</v>
      </c>
    </row>
    <row r="329" spans="2:11" x14ac:dyDescent="0.35">
      <c r="B329" t="s">
        <v>328</v>
      </c>
      <c r="C329">
        <v>66</v>
      </c>
      <c r="D329">
        <v>7</v>
      </c>
      <c r="E329">
        <v>4</v>
      </c>
      <c r="F329">
        <v>0</v>
      </c>
      <c r="G329">
        <v>9</v>
      </c>
      <c r="H329">
        <v>9</v>
      </c>
      <c r="I329">
        <v>19</v>
      </c>
      <c r="J329">
        <v>19</v>
      </c>
      <c r="K329">
        <f t="shared" si="6"/>
        <v>5</v>
      </c>
    </row>
    <row r="330" spans="2:11" x14ac:dyDescent="0.35">
      <c r="B330" t="s">
        <v>329</v>
      </c>
      <c r="C330">
        <v>27</v>
      </c>
      <c r="D330">
        <v>0</v>
      </c>
      <c r="E330">
        <v>0</v>
      </c>
      <c r="F330">
        <v>2</v>
      </c>
      <c r="G330">
        <v>1</v>
      </c>
      <c r="H330">
        <v>13</v>
      </c>
      <c r="I330">
        <v>5</v>
      </c>
      <c r="J330">
        <v>7</v>
      </c>
      <c r="K330">
        <f t="shared" si="6"/>
        <v>4</v>
      </c>
    </row>
    <row r="331" spans="2:11" x14ac:dyDescent="0.35">
      <c r="B331" t="s">
        <v>330</v>
      </c>
      <c r="C331">
        <v>51</v>
      </c>
      <c r="D331">
        <v>1</v>
      </c>
      <c r="E331">
        <v>0</v>
      </c>
      <c r="F331">
        <v>0</v>
      </c>
      <c r="G331">
        <v>0</v>
      </c>
      <c r="H331">
        <v>4</v>
      </c>
      <c r="I331">
        <v>16</v>
      </c>
      <c r="J331">
        <v>31</v>
      </c>
      <c r="K331">
        <f t="shared" si="6"/>
        <v>3</v>
      </c>
    </row>
    <row r="332" spans="2:11" x14ac:dyDescent="0.35">
      <c r="B332" t="s">
        <v>331</v>
      </c>
      <c r="C332">
        <v>45</v>
      </c>
      <c r="D332">
        <v>1</v>
      </c>
      <c r="E332">
        <v>0</v>
      </c>
      <c r="F332">
        <v>0</v>
      </c>
      <c r="G332">
        <v>5</v>
      </c>
      <c r="H332">
        <v>5</v>
      </c>
      <c r="I332">
        <v>13</v>
      </c>
      <c r="J332">
        <v>22</v>
      </c>
      <c r="K332">
        <f t="shared" ref="K332:K395" si="7">COUNTIF(D332:I332, "&gt;0")</f>
        <v>4</v>
      </c>
    </row>
    <row r="333" spans="2:11" x14ac:dyDescent="0.35">
      <c r="B333" t="s">
        <v>332</v>
      </c>
      <c r="C333">
        <v>22</v>
      </c>
      <c r="D333">
        <v>1</v>
      </c>
      <c r="E333">
        <v>0</v>
      </c>
      <c r="F333">
        <v>1</v>
      </c>
      <c r="G333">
        <v>3</v>
      </c>
      <c r="H333">
        <v>2</v>
      </c>
      <c r="I333">
        <v>7</v>
      </c>
      <c r="J333">
        <v>9</v>
      </c>
      <c r="K333">
        <f t="shared" si="7"/>
        <v>5</v>
      </c>
    </row>
    <row r="334" spans="2:11" x14ac:dyDescent="0.35">
      <c r="B334" t="s">
        <v>333</v>
      </c>
      <c r="C334">
        <v>33</v>
      </c>
      <c r="D334">
        <v>6</v>
      </c>
      <c r="E334">
        <v>0</v>
      </c>
      <c r="F334">
        <v>0</v>
      </c>
      <c r="G334">
        <v>4</v>
      </c>
      <c r="H334">
        <v>0</v>
      </c>
      <c r="I334">
        <v>20</v>
      </c>
      <c r="J334">
        <v>4</v>
      </c>
      <c r="K334">
        <f t="shared" si="7"/>
        <v>3</v>
      </c>
    </row>
    <row r="335" spans="2:11" x14ac:dyDescent="0.35">
      <c r="B335" t="s">
        <v>334</v>
      </c>
      <c r="C335">
        <v>25</v>
      </c>
      <c r="D335">
        <v>9</v>
      </c>
      <c r="E335">
        <v>0</v>
      </c>
      <c r="F335">
        <v>0</v>
      </c>
      <c r="G335">
        <v>0</v>
      </c>
      <c r="H335">
        <v>1</v>
      </c>
      <c r="I335">
        <v>10</v>
      </c>
      <c r="J335">
        <v>6</v>
      </c>
      <c r="K335">
        <f t="shared" si="7"/>
        <v>3</v>
      </c>
    </row>
    <row r="336" spans="2:11" x14ac:dyDescent="0.35">
      <c r="B336" t="s">
        <v>335</v>
      </c>
      <c r="C336">
        <v>5</v>
      </c>
      <c r="D336">
        <v>2</v>
      </c>
      <c r="E336">
        <v>0</v>
      </c>
      <c r="F336">
        <v>0</v>
      </c>
      <c r="G336">
        <v>0</v>
      </c>
      <c r="H336">
        <v>0</v>
      </c>
      <c r="I336">
        <v>1</v>
      </c>
      <c r="J336">
        <v>3</v>
      </c>
      <c r="K336">
        <f t="shared" si="7"/>
        <v>2</v>
      </c>
    </row>
    <row r="337" spans="2:11" x14ac:dyDescent="0.35">
      <c r="B337" t="s">
        <v>336</v>
      </c>
      <c r="C337">
        <v>25</v>
      </c>
      <c r="D337">
        <v>2</v>
      </c>
      <c r="E337">
        <v>1</v>
      </c>
      <c r="F337">
        <v>1</v>
      </c>
      <c r="G337">
        <v>1</v>
      </c>
      <c r="H337">
        <v>5</v>
      </c>
      <c r="I337">
        <v>4</v>
      </c>
      <c r="J337">
        <v>12</v>
      </c>
      <c r="K337">
        <f t="shared" si="7"/>
        <v>6</v>
      </c>
    </row>
    <row r="338" spans="2:11" x14ac:dyDescent="0.35">
      <c r="B338" t="s">
        <v>337</v>
      </c>
      <c r="C338">
        <v>15</v>
      </c>
      <c r="D338">
        <v>1</v>
      </c>
      <c r="E338">
        <v>0</v>
      </c>
      <c r="F338">
        <v>0</v>
      </c>
      <c r="G338">
        <v>0</v>
      </c>
      <c r="H338">
        <v>0</v>
      </c>
      <c r="I338">
        <v>3</v>
      </c>
      <c r="J338">
        <v>12</v>
      </c>
      <c r="K338">
        <f t="shared" si="7"/>
        <v>2</v>
      </c>
    </row>
    <row r="339" spans="2:11" x14ac:dyDescent="0.35">
      <c r="B339" t="s">
        <v>338</v>
      </c>
      <c r="C339">
        <v>37</v>
      </c>
      <c r="D339">
        <v>2</v>
      </c>
      <c r="E339">
        <v>0</v>
      </c>
      <c r="F339">
        <v>0</v>
      </c>
      <c r="G339">
        <v>0</v>
      </c>
      <c r="H339">
        <v>2</v>
      </c>
      <c r="I339">
        <v>3</v>
      </c>
      <c r="J339">
        <v>31</v>
      </c>
      <c r="K339">
        <f t="shared" si="7"/>
        <v>3</v>
      </c>
    </row>
    <row r="340" spans="2:11" x14ac:dyDescent="0.35">
      <c r="B340" t="s">
        <v>339</v>
      </c>
      <c r="C340">
        <v>43</v>
      </c>
      <c r="D340">
        <v>3</v>
      </c>
      <c r="E340">
        <v>1</v>
      </c>
      <c r="F340">
        <v>0</v>
      </c>
      <c r="G340">
        <v>4</v>
      </c>
      <c r="H340">
        <v>1</v>
      </c>
      <c r="I340">
        <v>15</v>
      </c>
      <c r="J340">
        <v>20</v>
      </c>
      <c r="K340">
        <f t="shared" si="7"/>
        <v>5</v>
      </c>
    </row>
    <row r="341" spans="2:11" x14ac:dyDescent="0.35">
      <c r="B341" t="s">
        <v>340</v>
      </c>
      <c r="C341">
        <v>20</v>
      </c>
      <c r="D341">
        <v>2</v>
      </c>
      <c r="E341">
        <v>0</v>
      </c>
      <c r="F341">
        <v>0</v>
      </c>
      <c r="G341">
        <v>0</v>
      </c>
      <c r="H341">
        <v>1</v>
      </c>
      <c r="I341">
        <v>1</v>
      </c>
      <c r="J341">
        <v>17</v>
      </c>
      <c r="K341">
        <f t="shared" si="7"/>
        <v>3</v>
      </c>
    </row>
    <row r="342" spans="2:11" x14ac:dyDescent="0.35">
      <c r="B342" t="s">
        <v>341</v>
      </c>
      <c r="C342">
        <v>5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5</v>
      </c>
      <c r="K342">
        <f t="shared" si="7"/>
        <v>1</v>
      </c>
    </row>
    <row r="343" spans="2:11" x14ac:dyDescent="0.35">
      <c r="B343" t="s">
        <v>342</v>
      </c>
      <c r="C343">
        <v>24</v>
      </c>
      <c r="D343">
        <v>3</v>
      </c>
      <c r="E343">
        <v>0</v>
      </c>
      <c r="F343">
        <v>0</v>
      </c>
      <c r="G343">
        <v>1</v>
      </c>
      <c r="H343">
        <v>0</v>
      </c>
      <c r="I343">
        <v>11</v>
      </c>
      <c r="J343">
        <v>10</v>
      </c>
      <c r="K343">
        <f t="shared" si="7"/>
        <v>3</v>
      </c>
    </row>
    <row r="344" spans="2:11" x14ac:dyDescent="0.35">
      <c r="B344" t="s">
        <v>343</v>
      </c>
      <c r="C344">
        <v>82</v>
      </c>
      <c r="D344">
        <v>6</v>
      </c>
      <c r="E344">
        <v>0</v>
      </c>
      <c r="F344">
        <v>0</v>
      </c>
      <c r="G344">
        <v>1</v>
      </c>
      <c r="H344">
        <v>2</v>
      </c>
      <c r="I344">
        <v>13</v>
      </c>
      <c r="J344">
        <v>61</v>
      </c>
      <c r="K344">
        <f t="shared" si="7"/>
        <v>4</v>
      </c>
    </row>
    <row r="345" spans="2:11" x14ac:dyDescent="0.35">
      <c r="B345" t="s">
        <v>344</v>
      </c>
      <c r="C345">
        <v>153</v>
      </c>
      <c r="D345">
        <v>0</v>
      </c>
      <c r="E345">
        <v>0</v>
      </c>
      <c r="F345">
        <v>0</v>
      </c>
      <c r="G345">
        <v>2</v>
      </c>
      <c r="H345">
        <v>4</v>
      </c>
      <c r="I345">
        <v>12</v>
      </c>
      <c r="J345">
        <v>136</v>
      </c>
      <c r="K345">
        <f t="shared" si="7"/>
        <v>3</v>
      </c>
    </row>
    <row r="346" spans="2:11" x14ac:dyDescent="0.35">
      <c r="B346" t="s">
        <v>345</v>
      </c>
      <c r="C346">
        <v>29</v>
      </c>
      <c r="D346">
        <v>0</v>
      </c>
      <c r="E346">
        <v>1</v>
      </c>
      <c r="F346">
        <v>0</v>
      </c>
      <c r="G346">
        <v>3</v>
      </c>
      <c r="H346">
        <v>15</v>
      </c>
      <c r="I346">
        <v>6</v>
      </c>
      <c r="J346">
        <v>5</v>
      </c>
      <c r="K346">
        <f t="shared" si="7"/>
        <v>4</v>
      </c>
    </row>
    <row r="347" spans="2:11" x14ac:dyDescent="0.35">
      <c r="B347" t="s">
        <v>346</v>
      </c>
      <c r="C347">
        <v>25</v>
      </c>
      <c r="D347">
        <v>1</v>
      </c>
      <c r="E347">
        <v>0</v>
      </c>
      <c r="F347">
        <v>0</v>
      </c>
      <c r="G347">
        <v>1</v>
      </c>
      <c r="H347">
        <v>7</v>
      </c>
      <c r="I347">
        <v>11</v>
      </c>
      <c r="J347">
        <v>6</v>
      </c>
      <c r="K347">
        <f t="shared" si="7"/>
        <v>4</v>
      </c>
    </row>
    <row r="348" spans="2:11" x14ac:dyDescent="0.35">
      <c r="B348" t="s">
        <v>347</v>
      </c>
      <c r="C348">
        <v>7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7</v>
      </c>
      <c r="K348">
        <f t="shared" si="7"/>
        <v>1</v>
      </c>
    </row>
    <row r="349" spans="2:11" x14ac:dyDescent="0.35">
      <c r="B349" t="s">
        <v>348</v>
      </c>
      <c r="C349">
        <v>8</v>
      </c>
      <c r="D349">
        <v>0</v>
      </c>
      <c r="E349">
        <v>0</v>
      </c>
      <c r="F349">
        <v>1</v>
      </c>
      <c r="G349">
        <v>0</v>
      </c>
      <c r="H349">
        <v>1</v>
      </c>
      <c r="I349">
        <v>0</v>
      </c>
      <c r="J349">
        <v>7</v>
      </c>
      <c r="K349">
        <f t="shared" si="7"/>
        <v>2</v>
      </c>
    </row>
    <row r="350" spans="2:11" x14ac:dyDescent="0.35">
      <c r="B350" t="s">
        <v>349</v>
      </c>
      <c r="C350">
        <v>22</v>
      </c>
      <c r="D350">
        <v>2</v>
      </c>
      <c r="E350">
        <v>0</v>
      </c>
      <c r="F350">
        <v>0</v>
      </c>
      <c r="G350">
        <v>1</v>
      </c>
      <c r="H350">
        <v>0</v>
      </c>
      <c r="I350">
        <v>7</v>
      </c>
      <c r="J350">
        <v>13</v>
      </c>
      <c r="K350">
        <f t="shared" si="7"/>
        <v>3</v>
      </c>
    </row>
    <row r="351" spans="2:11" x14ac:dyDescent="0.35">
      <c r="B351" t="s">
        <v>350</v>
      </c>
      <c r="C351">
        <v>7</v>
      </c>
      <c r="D351">
        <v>1</v>
      </c>
      <c r="E351">
        <v>0</v>
      </c>
      <c r="F351">
        <v>0</v>
      </c>
      <c r="G351">
        <v>0</v>
      </c>
      <c r="H351">
        <v>1</v>
      </c>
      <c r="I351">
        <v>2</v>
      </c>
      <c r="J351">
        <v>4</v>
      </c>
      <c r="K351">
        <f t="shared" si="7"/>
        <v>3</v>
      </c>
    </row>
    <row r="352" spans="2:11" x14ac:dyDescent="0.35">
      <c r="B352" t="s">
        <v>351</v>
      </c>
      <c r="C352">
        <v>47</v>
      </c>
      <c r="D352">
        <v>4</v>
      </c>
      <c r="E352">
        <v>0</v>
      </c>
      <c r="F352">
        <v>0</v>
      </c>
      <c r="G352">
        <v>0</v>
      </c>
      <c r="H352">
        <v>2</v>
      </c>
      <c r="I352">
        <v>28</v>
      </c>
      <c r="J352">
        <v>14</v>
      </c>
      <c r="K352">
        <f t="shared" si="7"/>
        <v>3</v>
      </c>
    </row>
    <row r="353" spans="2:11" x14ac:dyDescent="0.35">
      <c r="B353" t="s">
        <v>352</v>
      </c>
      <c r="C353">
        <v>49</v>
      </c>
      <c r="D353">
        <v>3</v>
      </c>
      <c r="E353">
        <v>0</v>
      </c>
      <c r="F353">
        <v>0</v>
      </c>
      <c r="G353">
        <v>4</v>
      </c>
      <c r="H353">
        <v>4</v>
      </c>
      <c r="I353">
        <v>19</v>
      </c>
      <c r="J353">
        <v>20</v>
      </c>
      <c r="K353">
        <f t="shared" si="7"/>
        <v>4</v>
      </c>
    </row>
    <row r="354" spans="2:11" x14ac:dyDescent="0.35">
      <c r="B354" t="s">
        <v>353</v>
      </c>
      <c r="C354">
        <v>21</v>
      </c>
      <c r="D354">
        <v>6</v>
      </c>
      <c r="E354">
        <v>0</v>
      </c>
      <c r="F354">
        <v>0</v>
      </c>
      <c r="G354">
        <v>0</v>
      </c>
      <c r="H354">
        <v>1</v>
      </c>
      <c r="I354">
        <v>8</v>
      </c>
      <c r="J354">
        <v>7</v>
      </c>
      <c r="K354">
        <f t="shared" si="7"/>
        <v>3</v>
      </c>
    </row>
    <row r="355" spans="2:11" x14ac:dyDescent="0.35">
      <c r="B355" t="s">
        <v>354</v>
      </c>
      <c r="C355">
        <v>32</v>
      </c>
      <c r="D355">
        <v>1</v>
      </c>
      <c r="E355">
        <v>1</v>
      </c>
      <c r="F355">
        <v>2</v>
      </c>
      <c r="G355">
        <v>0</v>
      </c>
      <c r="H355">
        <v>2</v>
      </c>
      <c r="I355">
        <v>9</v>
      </c>
      <c r="J355">
        <v>18</v>
      </c>
      <c r="K355">
        <f t="shared" si="7"/>
        <v>5</v>
      </c>
    </row>
    <row r="356" spans="2:11" x14ac:dyDescent="0.35">
      <c r="B356" t="s">
        <v>355</v>
      </c>
      <c r="C356">
        <v>25</v>
      </c>
      <c r="D356">
        <v>0</v>
      </c>
      <c r="E356">
        <v>0</v>
      </c>
      <c r="F356">
        <v>0</v>
      </c>
      <c r="G356">
        <v>0</v>
      </c>
      <c r="H356">
        <v>6</v>
      </c>
      <c r="I356">
        <v>14</v>
      </c>
      <c r="J356">
        <v>6</v>
      </c>
      <c r="K356">
        <f t="shared" si="7"/>
        <v>2</v>
      </c>
    </row>
    <row r="357" spans="2:11" x14ac:dyDescent="0.35">
      <c r="B357" t="s">
        <v>356</v>
      </c>
      <c r="C357">
        <v>37</v>
      </c>
      <c r="D357">
        <v>4</v>
      </c>
      <c r="E357">
        <v>0</v>
      </c>
      <c r="F357">
        <v>0</v>
      </c>
      <c r="G357">
        <v>0</v>
      </c>
      <c r="H357">
        <v>3</v>
      </c>
      <c r="I357">
        <v>20</v>
      </c>
      <c r="J357">
        <v>11</v>
      </c>
      <c r="K357">
        <f t="shared" si="7"/>
        <v>3</v>
      </c>
    </row>
    <row r="358" spans="2:11" x14ac:dyDescent="0.35">
      <c r="B358" t="s">
        <v>357</v>
      </c>
      <c r="C358">
        <v>16</v>
      </c>
      <c r="D358">
        <v>1</v>
      </c>
      <c r="E358">
        <v>0</v>
      </c>
      <c r="F358">
        <v>0</v>
      </c>
      <c r="G358">
        <v>0</v>
      </c>
      <c r="H358">
        <v>0</v>
      </c>
      <c r="I358">
        <v>2</v>
      </c>
      <c r="J358">
        <v>14</v>
      </c>
      <c r="K358">
        <f t="shared" si="7"/>
        <v>2</v>
      </c>
    </row>
    <row r="359" spans="2:11" x14ac:dyDescent="0.35">
      <c r="B359" t="s">
        <v>358</v>
      </c>
      <c r="C359">
        <v>33</v>
      </c>
      <c r="D359">
        <v>4</v>
      </c>
      <c r="E359">
        <v>0</v>
      </c>
      <c r="F359">
        <v>0</v>
      </c>
      <c r="G359">
        <v>0</v>
      </c>
      <c r="H359">
        <v>3</v>
      </c>
      <c r="I359">
        <v>16</v>
      </c>
      <c r="J359">
        <v>11</v>
      </c>
      <c r="K359">
        <f t="shared" si="7"/>
        <v>3</v>
      </c>
    </row>
    <row r="360" spans="2:11" x14ac:dyDescent="0.35">
      <c r="B360" t="s">
        <v>359</v>
      </c>
      <c r="C360">
        <v>39</v>
      </c>
      <c r="D360">
        <v>4</v>
      </c>
      <c r="E360">
        <v>0</v>
      </c>
      <c r="F360">
        <v>0</v>
      </c>
      <c r="G360">
        <v>0</v>
      </c>
      <c r="H360">
        <v>5</v>
      </c>
      <c r="I360">
        <v>20</v>
      </c>
      <c r="J360">
        <v>11</v>
      </c>
      <c r="K360">
        <f t="shared" si="7"/>
        <v>3</v>
      </c>
    </row>
    <row r="361" spans="2:11" x14ac:dyDescent="0.35">
      <c r="B361" t="s">
        <v>360</v>
      </c>
      <c r="C361">
        <v>37</v>
      </c>
      <c r="D361">
        <v>4</v>
      </c>
      <c r="E361">
        <v>0</v>
      </c>
      <c r="F361">
        <v>0</v>
      </c>
      <c r="G361">
        <v>0</v>
      </c>
      <c r="H361">
        <v>3</v>
      </c>
      <c r="I361">
        <v>20</v>
      </c>
      <c r="J361">
        <v>11</v>
      </c>
      <c r="K361">
        <f t="shared" si="7"/>
        <v>3</v>
      </c>
    </row>
    <row r="362" spans="2:11" x14ac:dyDescent="0.35">
      <c r="B362" t="s">
        <v>361</v>
      </c>
      <c r="C362">
        <v>19</v>
      </c>
      <c r="D362">
        <v>3</v>
      </c>
      <c r="E362">
        <v>0</v>
      </c>
      <c r="F362">
        <v>0</v>
      </c>
      <c r="G362">
        <v>0</v>
      </c>
      <c r="H362">
        <v>0</v>
      </c>
      <c r="I362">
        <v>7</v>
      </c>
      <c r="J362">
        <v>10</v>
      </c>
      <c r="K362">
        <f t="shared" si="7"/>
        <v>2</v>
      </c>
    </row>
    <row r="363" spans="2:11" x14ac:dyDescent="0.35">
      <c r="B363" t="s">
        <v>362</v>
      </c>
      <c r="C363">
        <v>34</v>
      </c>
      <c r="D363">
        <v>4</v>
      </c>
      <c r="E363">
        <v>0</v>
      </c>
      <c r="F363">
        <v>0</v>
      </c>
      <c r="G363">
        <v>0</v>
      </c>
      <c r="H363">
        <v>0</v>
      </c>
      <c r="I363">
        <v>20</v>
      </c>
      <c r="J363">
        <v>11</v>
      </c>
      <c r="K363">
        <f t="shared" si="7"/>
        <v>2</v>
      </c>
    </row>
    <row r="364" spans="2:11" x14ac:dyDescent="0.35">
      <c r="B364" t="s">
        <v>363</v>
      </c>
      <c r="C364">
        <v>42</v>
      </c>
      <c r="D364">
        <v>3</v>
      </c>
      <c r="E364">
        <v>0</v>
      </c>
      <c r="F364">
        <v>0</v>
      </c>
      <c r="G364">
        <v>6</v>
      </c>
      <c r="H364">
        <v>0</v>
      </c>
      <c r="I364">
        <v>9</v>
      </c>
      <c r="J364">
        <v>25</v>
      </c>
      <c r="K364">
        <f t="shared" si="7"/>
        <v>3</v>
      </c>
    </row>
    <row r="365" spans="2:11" x14ac:dyDescent="0.35">
      <c r="B365" t="s">
        <v>364</v>
      </c>
      <c r="C365">
        <v>14</v>
      </c>
      <c r="D365">
        <v>0</v>
      </c>
      <c r="E365">
        <v>0</v>
      </c>
      <c r="F365">
        <v>0</v>
      </c>
      <c r="G365">
        <v>0</v>
      </c>
      <c r="H365">
        <v>4</v>
      </c>
      <c r="I365">
        <v>7</v>
      </c>
      <c r="J365">
        <v>4</v>
      </c>
      <c r="K365">
        <f t="shared" si="7"/>
        <v>2</v>
      </c>
    </row>
    <row r="366" spans="2:11" x14ac:dyDescent="0.35">
      <c r="B366" t="s">
        <v>365</v>
      </c>
      <c r="C366">
        <v>25</v>
      </c>
      <c r="D366">
        <v>0</v>
      </c>
      <c r="E366">
        <v>0</v>
      </c>
      <c r="F366">
        <v>14</v>
      </c>
      <c r="G366">
        <v>0</v>
      </c>
      <c r="H366">
        <v>0</v>
      </c>
      <c r="I366">
        <v>2</v>
      </c>
      <c r="J366">
        <v>10</v>
      </c>
      <c r="K366">
        <f t="shared" si="7"/>
        <v>2</v>
      </c>
    </row>
    <row r="367" spans="2:11" x14ac:dyDescent="0.35">
      <c r="B367" t="s">
        <v>366</v>
      </c>
      <c r="C367">
        <v>102</v>
      </c>
      <c r="D367">
        <v>3</v>
      </c>
      <c r="E367">
        <v>0</v>
      </c>
      <c r="F367">
        <v>0</v>
      </c>
      <c r="G367">
        <v>2</v>
      </c>
      <c r="H367">
        <v>32</v>
      </c>
      <c r="I367">
        <v>23</v>
      </c>
      <c r="J367">
        <v>43</v>
      </c>
      <c r="K367">
        <f t="shared" si="7"/>
        <v>4</v>
      </c>
    </row>
    <row r="368" spans="2:11" x14ac:dyDescent="0.35">
      <c r="B368" t="s">
        <v>367</v>
      </c>
      <c r="C368">
        <v>3</v>
      </c>
      <c r="D368">
        <v>1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1</v>
      </c>
      <c r="K368">
        <f t="shared" si="7"/>
        <v>3</v>
      </c>
    </row>
    <row r="369" spans="2:11" x14ac:dyDescent="0.35">
      <c r="B369" t="s">
        <v>368</v>
      </c>
      <c r="C369">
        <v>81</v>
      </c>
      <c r="D369">
        <v>2</v>
      </c>
      <c r="E369">
        <v>0</v>
      </c>
      <c r="F369">
        <v>1</v>
      </c>
      <c r="G369">
        <v>0</v>
      </c>
      <c r="H369">
        <v>32</v>
      </c>
      <c r="I369">
        <v>16</v>
      </c>
      <c r="J369">
        <v>31</v>
      </c>
      <c r="K369">
        <f t="shared" si="7"/>
        <v>4</v>
      </c>
    </row>
    <row r="370" spans="2:11" x14ac:dyDescent="0.35">
      <c r="B370" t="s">
        <v>369</v>
      </c>
      <c r="C370">
        <v>45</v>
      </c>
      <c r="D370">
        <v>0</v>
      </c>
      <c r="E370">
        <v>0</v>
      </c>
      <c r="F370">
        <v>0</v>
      </c>
      <c r="G370">
        <v>0</v>
      </c>
      <c r="H370">
        <v>3</v>
      </c>
      <c r="I370">
        <v>9</v>
      </c>
      <c r="J370">
        <v>34</v>
      </c>
      <c r="K370">
        <f t="shared" si="7"/>
        <v>2</v>
      </c>
    </row>
    <row r="371" spans="2:11" x14ac:dyDescent="0.35">
      <c r="B371" t="s">
        <v>370</v>
      </c>
      <c r="C371">
        <v>41</v>
      </c>
      <c r="D371">
        <v>4</v>
      </c>
      <c r="E371">
        <v>0</v>
      </c>
      <c r="F371">
        <v>0</v>
      </c>
      <c r="G371">
        <v>0</v>
      </c>
      <c r="H371">
        <v>12</v>
      </c>
      <c r="I371">
        <v>6</v>
      </c>
      <c r="J371">
        <v>20</v>
      </c>
      <c r="K371">
        <f t="shared" si="7"/>
        <v>3</v>
      </c>
    </row>
    <row r="372" spans="2:11" x14ac:dyDescent="0.35">
      <c r="B372" t="s">
        <v>371</v>
      </c>
      <c r="C372">
        <v>16</v>
      </c>
      <c r="D372">
        <v>0</v>
      </c>
      <c r="E372">
        <v>0</v>
      </c>
      <c r="F372">
        <v>0</v>
      </c>
      <c r="G372">
        <v>0</v>
      </c>
      <c r="H372">
        <v>3</v>
      </c>
      <c r="I372">
        <v>4</v>
      </c>
      <c r="J372">
        <v>10</v>
      </c>
      <c r="K372">
        <f t="shared" si="7"/>
        <v>2</v>
      </c>
    </row>
    <row r="373" spans="2:11" x14ac:dyDescent="0.35">
      <c r="B373" t="s">
        <v>372</v>
      </c>
      <c r="C373">
        <v>36</v>
      </c>
      <c r="D373">
        <v>5</v>
      </c>
      <c r="E373">
        <v>0</v>
      </c>
      <c r="F373">
        <v>0</v>
      </c>
      <c r="G373">
        <v>5</v>
      </c>
      <c r="H373">
        <v>3</v>
      </c>
      <c r="I373">
        <v>15</v>
      </c>
      <c r="J373">
        <v>9</v>
      </c>
      <c r="K373">
        <f t="shared" si="7"/>
        <v>4</v>
      </c>
    </row>
    <row r="374" spans="2:11" x14ac:dyDescent="0.35">
      <c r="B374" t="s">
        <v>373</v>
      </c>
      <c r="C374">
        <v>33</v>
      </c>
      <c r="D374">
        <v>3</v>
      </c>
      <c r="E374">
        <v>0</v>
      </c>
      <c r="F374">
        <v>0</v>
      </c>
      <c r="G374">
        <v>1</v>
      </c>
      <c r="H374">
        <v>1</v>
      </c>
      <c r="I374">
        <v>8</v>
      </c>
      <c r="J374">
        <v>21</v>
      </c>
      <c r="K374">
        <f t="shared" si="7"/>
        <v>4</v>
      </c>
    </row>
    <row r="375" spans="2:11" x14ac:dyDescent="0.35">
      <c r="B375" t="s">
        <v>374</v>
      </c>
      <c r="C375">
        <v>5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1</v>
      </c>
      <c r="J375">
        <v>5</v>
      </c>
      <c r="K375">
        <f t="shared" si="7"/>
        <v>1</v>
      </c>
    </row>
    <row r="376" spans="2:11" x14ac:dyDescent="0.35">
      <c r="B376" t="s">
        <v>375</v>
      </c>
      <c r="C376">
        <v>17</v>
      </c>
      <c r="D376">
        <v>0</v>
      </c>
      <c r="E376">
        <v>0</v>
      </c>
      <c r="F376">
        <v>1</v>
      </c>
      <c r="G376">
        <v>0</v>
      </c>
      <c r="H376">
        <v>2</v>
      </c>
      <c r="I376">
        <v>3</v>
      </c>
      <c r="J376">
        <v>12</v>
      </c>
      <c r="K376">
        <f t="shared" si="7"/>
        <v>3</v>
      </c>
    </row>
    <row r="377" spans="2:11" x14ac:dyDescent="0.35">
      <c r="B377" t="s">
        <v>376</v>
      </c>
      <c r="C377">
        <v>34</v>
      </c>
      <c r="D377">
        <v>1</v>
      </c>
      <c r="E377">
        <v>0</v>
      </c>
      <c r="F377">
        <v>0</v>
      </c>
      <c r="G377">
        <v>3</v>
      </c>
      <c r="H377">
        <v>4</v>
      </c>
      <c r="I377">
        <v>15</v>
      </c>
      <c r="J377">
        <v>12</v>
      </c>
      <c r="K377">
        <f t="shared" si="7"/>
        <v>4</v>
      </c>
    </row>
    <row r="378" spans="2:11" x14ac:dyDescent="0.35">
      <c r="B378" t="s">
        <v>377</v>
      </c>
      <c r="C378">
        <v>23</v>
      </c>
      <c r="D378">
        <v>4</v>
      </c>
      <c r="E378">
        <v>1</v>
      </c>
      <c r="F378">
        <v>0</v>
      </c>
      <c r="G378">
        <v>4</v>
      </c>
      <c r="H378">
        <v>0</v>
      </c>
      <c r="I378">
        <v>4</v>
      </c>
      <c r="J378">
        <v>11</v>
      </c>
      <c r="K378">
        <f t="shared" si="7"/>
        <v>4</v>
      </c>
    </row>
    <row r="379" spans="2:11" x14ac:dyDescent="0.35">
      <c r="B379" t="s">
        <v>378</v>
      </c>
      <c r="C379">
        <v>29</v>
      </c>
      <c r="D379">
        <v>3</v>
      </c>
      <c r="E379">
        <v>0</v>
      </c>
      <c r="F379">
        <v>1</v>
      </c>
      <c r="G379">
        <v>2</v>
      </c>
      <c r="H379">
        <v>2</v>
      </c>
      <c r="I379">
        <v>9</v>
      </c>
      <c r="J379">
        <v>13</v>
      </c>
      <c r="K379">
        <f t="shared" si="7"/>
        <v>5</v>
      </c>
    </row>
    <row r="380" spans="2:11" x14ac:dyDescent="0.35">
      <c r="B380" t="s">
        <v>379</v>
      </c>
      <c r="C380">
        <v>32</v>
      </c>
      <c r="D380">
        <v>3</v>
      </c>
      <c r="E380">
        <v>1</v>
      </c>
      <c r="F380">
        <v>0</v>
      </c>
      <c r="G380">
        <v>2</v>
      </c>
      <c r="H380">
        <v>2</v>
      </c>
      <c r="I380">
        <v>13</v>
      </c>
      <c r="J380">
        <v>12</v>
      </c>
      <c r="K380">
        <f t="shared" si="7"/>
        <v>5</v>
      </c>
    </row>
    <row r="381" spans="2:11" x14ac:dyDescent="0.35">
      <c r="B381" t="s">
        <v>380</v>
      </c>
      <c r="C381">
        <v>65</v>
      </c>
      <c r="D381">
        <v>7</v>
      </c>
      <c r="E381">
        <v>0</v>
      </c>
      <c r="F381">
        <v>0</v>
      </c>
      <c r="G381">
        <v>12</v>
      </c>
      <c r="H381">
        <v>4</v>
      </c>
      <c r="I381">
        <v>19</v>
      </c>
      <c r="J381">
        <v>24</v>
      </c>
      <c r="K381">
        <f t="shared" si="7"/>
        <v>4</v>
      </c>
    </row>
    <row r="382" spans="2:11" x14ac:dyDescent="0.35">
      <c r="B382" t="s">
        <v>381</v>
      </c>
      <c r="C382">
        <v>108</v>
      </c>
      <c r="D382">
        <v>4</v>
      </c>
      <c r="E382">
        <v>0</v>
      </c>
      <c r="F382">
        <v>0</v>
      </c>
      <c r="G382">
        <v>6</v>
      </c>
      <c r="H382">
        <v>13</v>
      </c>
      <c r="I382">
        <v>49</v>
      </c>
      <c r="J382">
        <v>37</v>
      </c>
      <c r="K382">
        <f t="shared" si="7"/>
        <v>4</v>
      </c>
    </row>
    <row r="383" spans="2:11" x14ac:dyDescent="0.35">
      <c r="B383" t="s">
        <v>382</v>
      </c>
      <c r="C383">
        <v>67</v>
      </c>
      <c r="D383">
        <v>4</v>
      </c>
      <c r="E383">
        <v>1</v>
      </c>
      <c r="F383">
        <v>1</v>
      </c>
      <c r="G383">
        <v>8</v>
      </c>
      <c r="H383">
        <v>0</v>
      </c>
      <c r="I383">
        <v>26</v>
      </c>
      <c r="J383">
        <v>28</v>
      </c>
      <c r="K383">
        <f t="shared" si="7"/>
        <v>5</v>
      </c>
    </row>
    <row r="384" spans="2:11" x14ac:dyDescent="0.35">
      <c r="B384" t="s">
        <v>383</v>
      </c>
      <c r="C384">
        <v>6</v>
      </c>
      <c r="D384">
        <v>2</v>
      </c>
      <c r="E384">
        <v>0</v>
      </c>
      <c r="F384">
        <v>0</v>
      </c>
      <c r="G384">
        <v>3</v>
      </c>
      <c r="H384">
        <v>0</v>
      </c>
      <c r="I384">
        <v>1</v>
      </c>
      <c r="J384">
        <v>1</v>
      </c>
      <c r="K384">
        <f t="shared" si="7"/>
        <v>3</v>
      </c>
    </row>
    <row r="385" spans="2:11" x14ac:dyDescent="0.35">
      <c r="B385" t="s">
        <v>384</v>
      </c>
      <c r="C385">
        <v>30</v>
      </c>
      <c r="D385">
        <v>1</v>
      </c>
      <c r="E385">
        <v>0</v>
      </c>
      <c r="F385">
        <v>0</v>
      </c>
      <c r="G385">
        <v>0</v>
      </c>
      <c r="H385">
        <v>0</v>
      </c>
      <c r="I385">
        <v>3</v>
      </c>
      <c r="J385">
        <v>27</v>
      </c>
      <c r="K385">
        <f t="shared" si="7"/>
        <v>2</v>
      </c>
    </row>
    <row r="386" spans="2:11" x14ac:dyDescent="0.35">
      <c r="B386" t="s">
        <v>385</v>
      </c>
      <c r="C386">
        <v>12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2</v>
      </c>
      <c r="J386">
        <v>11</v>
      </c>
      <c r="K386">
        <f t="shared" si="7"/>
        <v>1</v>
      </c>
    </row>
    <row r="387" spans="2:11" x14ac:dyDescent="0.35">
      <c r="B387" t="s">
        <v>386</v>
      </c>
      <c r="C387">
        <v>26</v>
      </c>
      <c r="D387">
        <v>1</v>
      </c>
      <c r="E387">
        <v>0</v>
      </c>
      <c r="F387">
        <v>0</v>
      </c>
      <c r="G387">
        <v>0</v>
      </c>
      <c r="H387">
        <v>2</v>
      </c>
      <c r="I387">
        <v>7</v>
      </c>
      <c r="J387">
        <v>17</v>
      </c>
      <c r="K387">
        <f t="shared" si="7"/>
        <v>3</v>
      </c>
    </row>
    <row r="388" spans="2:11" x14ac:dyDescent="0.35">
      <c r="B388" t="s">
        <v>387</v>
      </c>
      <c r="C388">
        <v>7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3</v>
      </c>
      <c r="J388">
        <v>5</v>
      </c>
      <c r="K388">
        <f t="shared" si="7"/>
        <v>1</v>
      </c>
    </row>
    <row r="389" spans="2:11" x14ac:dyDescent="0.35">
      <c r="B389" t="s">
        <v>388</v>
      </c>
      <c r="C389">
        <v>7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4</v>
      </c>
      <c r="J389">
        <v>4</v>
      </c>
      <c r="K389">
        <f t="shared" si="7"/>
        <v>1</v>
      </c>
    </row>
    <row r="390" spans="2:11" x14ac:dyDescent="0.35">
      <c r="B390" t="s">
        <v>389</v>
      </c>
      <c r="C390">
        <v>23</v>
      </c>
      <c r="D390">
        <v>0</v>
      </c>
      <c r="E390">
        <v>0</v>
      </c>
      <c r="F390">
        <v>0</v>
      </c>
      <c r="G390">
        <v>0</v>
      </c>
      <c r="H390">
        <v>5</v>
      </c>
      <c r="I390">
        <v>3</v>
      </c>
      <c r="J390">
        <v>16</v>
      </c>
      <c r="K390">
        <f t="shared" si="7"/>
        <v>2</v>
      </c>
    </row>
    <row r="391" spans="2:11" x14ac:dyDescent="0.35">
      <c r="B391" t="s">
        <v>390</v>
      </c>
      <c r="C391">
        <v>14</v>
      </c>
      <c r="D391">
        <v>0</v>
      </c>
      <c r="E391">
        <v>0</v>
      </c>
      <c r="F391">
        <v>0</v>
      </c>
      <c r="G391">
        <v>3</v>
      </c>
      <c r="H391">
        <v>6</v>
      </c>
      <c r="I391">
        <v>3</v>
      </c>
      <c r="J391">
        <v>3</v>
      </c>
      <c r="K391">
        <f t="shared" si="7"/>
        <v>3</v>
      </c>
    </row>
    <row r="392" spans="2:11" x14ac:dyDescent="0.35">
      <c r="B392" t="s">
        <v>391</v>
      </c>
      <c r="C392">
        <v>18</v>
      </c>
      <c r="D392">
        <v>1</v>
      </c>
      <c r="E392">
        <v>0</v>
      </c>
      <c r="F392">
        <v>0</v>
      </c>
      <c r="G392">
        <v>0</v>
      </c>
      <c r="H392">
        <v>3</v>
      </c>
      <c r="I392">
        <v>5</v>
      </c>
      <c r="J392">
        <v>10</v>
      </c>
      <c r="K392">
        <f t="shared" si="7"/>
        <v>3</v>
      </c>
    </row>
    <row r="393" spans="2:11" x14ac:dyDescent="0.35">
      <c r="B393" t="s">
        <v>392</v>
      </c>
      <c r="C393">
        <v>57</v>
      </c>
      <c r="D393">
        <v>2</v>
      </c>
      <c r="E393">
        <v>0</v>
      </c>
      <c r="F393">
        <v>0</v>
      </c>
      <c r="G393">
        <v>7</v>
      </c>
      <c r="H393">
        <v>8</v>
      </c>
      <c r="I393">
        <v>12</v>
      </c>
      <c r="J393">
        <v>29</v>
      </c>
      <c r="K393">
        <f t="shared" si="7"/>
        <v>4</v>
      </c>
    </row>
    <row r="394" spans="2:11" x14ac:dyDescent="0.35">
      <c r="B394" t="s">
        <v>393</v>
      </c>
      <c r="C394">
        <v>20</v>
      </c>
      <c r="D394">
        <v>1</v>
      </c>
      <c r="E394">
        <v>0</v>
      </c>
      <c r="F394">
        <v>0</v>
      </c>
      <c r="G394">
        <v>0</v>
      </c>
      <c r="H394">
        <v>5</v>
      </c>
      <c r="I394">
        <v>6</v>
      </c>
      <c r="J394">
        <v>9</v>
      </c>
      <c r="K394">
        <f t="shared" si="7"/>
        <v>3</v>
      </c>
    </row>
    <row r="395" spans="2:11" x14ac:dyDescent="0.35">
      <c r="B395" t="s">
        <v>394</v>
      </c>
      <c r="C395">
        <v>11</v>
      </c>
      <c r="D395">
        <v>1</v>
      </c>
      <c r="E395">
        <v>0</v>
      </c>
      <c r="F395">
        <v>0</v>
      </c>
      <c r="G395">
        <v>0</v>
      </c>
      <c r="H395">
        <v>1</v>
      </c>
      <c r="I395">
        <v>1</v>
      </c>
      <c r="J395">
        <v>9</v>
      </c>
      <c r="K395">
        <f t="shared" si="7"/>
        <v>3</v>
      </c>
    </row>
    <row r="396" spans="2:11" x14ac:dyDescent="0.35">
      <c r="B396" t="s">
        <v>395</v>
      </c>
      <c r="C396">
        <v>9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4</v>
      </c>
      <c r="J396">
        <v>6</v>
      </c>
      <c r="K396">
        <f t="shared" ref="K396:K459" si="8">COUNTIF(D396:I396, "&gt;0")</f>
        <v>1</v>
      </c>
    </row>
    <row r="397" spans="2:11" x14ac:dyDescent="0.35">
      <c r="B397" t="s">
        <v>396</v>
      </c>
      <c r="C397">
        <v>19</v>
      </c>
      <c r="D397">
        <v>2</v>
      </c>
      <c r="E397">
        <v>0</v>
      </c>
      <c r="F397">
        <v>0</v>
      </c>
      <c r="G397">
        <v>0</v>
      </c>
      <c r="H397">
        <v>2</v>
      </c>
      <c r="I397">
        <v>10</v>
      </c>
      <c r="J397">
        <v>6</v>
      </c>
      <c r="K397">
        <f t="shared" si="8"/>
        <v>3</v>
      </c>
    </row>
    <row r="398" spans="2:11" x14ac:dyDescent="0.35">
      <c r="B398" t="s">
        <v>397</v>
      </c>
      <c r="C398">
        <v>40</v>
      </c>
      <c r="D398">
        <v>2</v>
      </c>
      <c r="E398">
        <v>0</v>
      </c>
      <c r="F398">
        <v>0</v>
      </c>
      <c r="G398">
        <v>1</v>
      </c>
      <c r="H398">
        <v>6</v>
      </c>
      <c r="I398">
        <v>18</v>
      </c>
      <c r="J398">
        <v>14</v>
      </c>
      <c r="K398">
        <f t="shared" si="8"/>
        <v>4</v>
      </c>
    </row>
    <row r="399" spans="2:11" x14ac:dyDescent="0.35">
      <c r="B399" t="s">
        <v>398</v>
      </c>
      <c r="C399">
        <v>67</v>
      </c>
      <c r="D399">
        <v>1</v>
      </c>
      <c r="E399">
        <v>0</v>
      </c>
      <c r="F399">
        <v>1</v>
      </c>
      <c r="G399">
        <v>4</v>
      </c>
      <c r="H399">
        <v>17</v>
      </c>
      <c r="I399">
        <v>21</v>
      </c>
      <c r="J399">
        <v>24</v>
      </c>
      <c r="K399">
        <f t="shared" si="8"/>
        <v>5</v>
      </c>
    </row>
    <row r="400" spans="2:11" x14ac:dyDescent="0.35">
      <c r="B400" t="s">
        <v>399</v>
      </c>
      <c r="C400">
        <v>21</v>
      </c>
      <c r="D400">
        <v>4</v>
      </c>
      <c r="E400">
        <v>2</v>
      </c>
      <c r="F400">
        <v>0</v>
      </c>
      <c r="G400">
        <v>1</v>
      </c>
      <c r="H400">
        <v>0</v>
      </c>
      <c r="I400">
        <v>10</v>
      </c>
      <c r="J400">
        <v>5</v>
      </c>
      <c r="K400">
        <f t="shared" si="8"/>
        <v>4</v>
      </c>
    </row>
    <row r="401" spans="2:11" x14ac:dyDescent="0.35">
      <c r="B401" t="s">
        <v>400</v>
      </c>
      <c r="C401">
        <v>18</v>
      </c>
      <c r="D401">
        <v>2</v>
      </c>
      <c r="E401">
        <v>0</v>
      </c>
      <c r="F401">
        <v>0</v>
      </c>
      <c r="G401">
        <v>2</v>
      </c>
      <c r="H401">
        <v>1</v>
      </c>
      <c r="I401">
        <v>6</v>
      </c>
      <c r="J401">
        <v>8</v>
      </c>
      <c r="K401">
        <f t="shared" si="8"/>
        <v>4</v>
      </c>
    </row>
    <row r="402" spans="2:11" x14ac:dyDescent="0.35">
      <c r="B402" t="s">
        <v>401</v>
      </c>
      <c r="C402">
        <v>41</v>
      </c>
      <c r="D402">
        <v>5</v>
      </c>
      <c r="E402">
        <v>0</v>
      </c>
      <c r="F402">
        <v>0</v>
      </c>
      <c r="G402">
        <v>0</v>
      </c>
      <c r="H402">
        <v>1</v>
      </c>
      <c r="I402">
        <v>6</v>
      </c>
      <c r="J402">
        <v>30</v>
      </c>
      <c r="K402">
        <f t="shared" si="8"/>
        <v>3</v>
      </c>
    </row>
    <row r="403" spans="2:11" x14ac:dyDescent="0.35">
      <c r="B403" t="s">
        <v>402</v>
      </c>
      <c r="C403">
        <v>70</v>
      </c>
      <c r="D403">
        <v>2</v>
      </c>
      <c r="E403">
        <v>0</v>
      </c>
      <c r="F403">
        <v>1</v>
      </c>
      <c r="G403">
        <v>4</v>
      </c>
      <c r="H403">
        <v>20</v>
      </c>
      <c r="I403">
        <v>12</v>
      </c>
      <c r="J403">
        <v>32</v>
      </c>
      <c r="K403">
        <f t="shared" si="8"/>
        <v>5</v>
      </c>
    </row>
    <row r="404" spans="2:11" x14ac:dyDescent="0.35">
      <c r="B404" t="s">
        <v>403</v>
      </c>
      <c r="C404">
        <v>15</v>
      </c>
      <c r="D404">
        <v>3</v>
      </c>
      <c r="E404">
        <v>0</v>
      </c>
      <c r="F404">
        <v>1</v>
      </c>
      <c r="G404">
        <v>0</v>
      </c>
      <c r="H404">
        <v>1</v>
      </c>
      <c r="I404">
        <v>4</v>
      </c>
      <c r="J404">
        <v>7</v>
      </c>
      <c r="K404">
        <f t="shared" si="8"/>
        <v>4</v>
      </c>
    </row>
    <row r="405" spans="2:11" x14ac:dyDescent="0.35">
      <c r="B405" t="s">
        <v>404</v>
      </c>
      <c r="C405">
        <v>13</v>
      </c>
      <c r="D405">
        <v>2</v>
      </c>
      <c r="E405">
        <v>0</v>
      </c>
      <c r="F405">
        <v>0</v>
      </c>
      <c r="G405">
        <v>0</v>
      </c>
      <c r="H405">
        <v>0</v>
      </c>
      <c r="I405">
        <v>5</v>
      </c>
      <c r="J405">
        <v>7</v>
      </c>
      <c r="K405">
        <f t="shared" si="8"/>
        <v>2</v>
      </c>
    </row>
    <row r="406" spans="2:11" x14ac:dyDescent="0.35">
      <c r="B406" t="s">
        <v>405</v>
      </c>
      <c r="C406">
        <v>22</v>
      </c>
      <c r="D406">
        <v>1</v>
      </c>
      <c r="E406">
        <v>0</v>
      </c>
      <c r="F406">
        <v>0</v>
      </c>
      <c r="G406">
        <v>0</v>
      </c>
      <c r="H406">
        <v>1</v>
      </c>
      <c r="I406">
        <v>3</v>
      </c>
      <c r="J406">
        <v>18</v>
      </c>
      <c r="K406">
        <f t="shared" si="8"/>
        <v>3</v>
      </c>
    </row>
    <row r="407" spans="2:11" x14ac:dyDescent="0.35">
      <c r="B407" t="s">
        <v>406</v>
      </c>
      <c r="C407">
        <v>9</v>
      </c>
      <c r="D407">
        <v>2</v>
      </c>
      <c r="E407">
        <v>0</v>
      </c>
      <c r="F407">
        <v>1</v>
      </c>
      <c r="G407">
        <v>1</v>
      </c>
      <c r="H407">
        <v>1</v>
      </c>
      <c r="I407">
        <v>0</v>
      </c>
      <c r="J407">
        <v>5</v>
      </c>
      <c r="K407">
        <f t="shared" si="8"/>
        <v>4</v>
      </c>
    </row>
    <row r="408" spans="2:11" x14ac:dyDescent="0.35">
      <c r="B408" t="s">
        <v>407</v>
      </c>
      <c r="C408">
        <v>31</v>
      </c>
      <c r="D408">
        <v>3</v>
      </c>
      <c r="E408">
        <v>0</v>
      </c>
      <c r="F408">
        <v>0</v>
      </c>
      <c r="G408">
        <v>3</v>
      </c>
      <c r="H408">
        <v>3</v>
      </c>
      <c r="I408">
        <v>16</v>
      </c>
      <c r="J408">
        <v>7</v>
      </c>
      <c r="K408">
        <f t="shared" si="8"/>
        <v>4</v>
      </c>
    </row>
    <row r="409" spans="2:11" x14ac:dyDescent="0.35">
      <c r="B409" t="s">
        <v>2301</v>
      </c>
      <c r="C409">
        <v>8</v>
      </c>
      <c r="D409">
        <v>0</v>
      </c>
      <c r="E409">
        <v>0</v>
      </c>
      <c r="F409">
        <v>2</v>
      </c>
      <c r="G409">
        <v>0</v>
      </c>
      <c r="H409">
        <v>0</v>
      </c>
      <c r="I409">
        <v>5</v>
      </c>
      <c r="J409">
        <v>2</v>
      </c>
      <c r="K409">
        <f t="shared" si="8"/>
        <v>2</v>
      </c>
    </row>
    <row r="410" spans="2:11" x14ac:dyDescent="0.35">
      <c r="B410" t="s">
        <v>408</v>
      </c>
      <c r="C410">
        <v>12</v>
      </c>
      <c r="D410">
        <v>1</v>
      </c>
      <c r="E410">
        <v>0</v>
      </c>
      <c r="F410">
        <v>0</v>
      </c>
      <c r="G410">
        <v>0</v>
      </c>
      <c r="H410">
        <v>1</v>
      </c>
      <c r="I410">
        <v>5</v>
      </c>
      <c r="J410">
        <v>6</v>
      </c>
      <c r="K410">
        <f t="shared" si="8"/>
        <v>3</v>
      </c>
    </row>
    <row r="411" spans="2:11" x14ac:dyDescent="0.35">
      <c r="B411" t="s">
        <v>409</v>
      </c>
      <c r="C411">
        <v>91</v>
      </c>
      <c r="D411">
        <v>10</v>
      </c>
      <c r="E411">
        <v>0</v>
      </c>
      <c r="F411">
        <v>2</v>
      </c>
      <c r="G411">
        <v>1</v>
      </c>
      <c r="H411">
        <v>6</v>
      </c>
      <c r="I411">
        <v>22</v>
      </c>
      <c r="J411">
        <v>51</v>
      </c>
      <c r="K411">
        <f t="shared" si="8"/>
        <v>5</v>
      </c>
    </row>
    <row r="412" spans="2:11" x14ac:dyDescent="0.35">
      <c r="B412" t="s">
        <v>410</v>
      </c>
      <c r="C412">
        <v>15</v>
      </c>
      <c r="D412">
        <v>1</v>
      </c>
      <c r="E412">
        <v>0</v>
      </c>
      <c r="F412">
        <v>0</v>
      </c>
      <c r="G412">
        <v>2</v>
      </c>
      <c r="H412">
        <v>0</v>
      </c>
      <c r="I412">
        <v>9</v>
      </c>
      <c r="J412">
        <v>4</v>
      </c>
      <c r="K412">
        <f t="shared" si="8"/>
        <v>3</v>
      </c>
    </row>
    <row r="413" spans="2:11" x14ac:dyDescent="0.35">
      <c r="B413" t="s">
        <v>411</v>
      </c>
      <c r="C413">
        <v>38</v>
      </c>
      <c r="D413">
        <v>4</v>
      </c>
      <c r="E413">
        <v>0</v>
      </c>
      <c r="F413">
        <v>3</v>
      </c>
      <c r="G413">
        <v>0</v>
      </c>
      <c r="H413">
        <v>2</v>
      </c>
      <c r="I413">
        <v>20</v>
      </c>
      <c r="J413">
        <v>10</v>
      </c>
      <c r="K413">
        <f t="shared" si="8"/>
        <v>4</v>
      </c>
    </row>
    <row r="414" spans="2:11" x14ac:dyDescent="0.35">
      <c r="B414" t="s">
        <v>412</v>
      </c>
      <c r="C414">
        <v>23</v>
      </c>
      <c r="D414">
        <v>0</v>
      </c>
      <c r="E414">
        <v>0</v>
      </c>
      <c r="F414">
        <v>0</v>
      </c>
      <c r="G414">
        <v>4</v>
      </c>
      <c r="H414">
        <v>2</v>
      </c>
      <c r="I414">
        <v>8</v>
      </c>
      <c r="J414">
        <v>10</v>
      </c>
      <c r="K414">
        <f t="shared" si="8"/>
        <v>3</v>
      </c>
    </row>
    <row r="415" spans="2:11" x14ac:dyDescent="0.35">
      <c r="B415" t="s">
        <v>413</v>
      </c>
      <c r="C415">
        <v>6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7</v>
      </c>
      <c r="K415">
        <f t="shared" si="8"/>
        <v>0</v>
      </c>
    </row>
    <row r="416" spans="2:11" x14ac:dyDescent="0.35">
      <c r="B416" t="s">
        <v>414</v>
      </c>
      <c r="C416">
        <v>10</v>
      </c>
      <c r="D416">
        <v>0</v>
      </c>
      <c r="E416">
        <v>0</v>
      </c>
      <c r="F416">
        <v>0</v>
      </c>
      <c r="G416">
        <v>0</v>
      </c>
      <c r="H416">
        <v>2</v>
      </c>
      <c r="I416">
        <v>0</v>
      </c>
      <c r="J416">
        <v>9</v>
      </c>
      <c r="K416">
        <f t="shared" si="8"/>
        <v>1</v>
      </c>
    </row>
    <row r="417" spans="2:11" x14ac:dyDescent="0.35">
      <c r="B417" t="s">
        <v>415</v>
      </c>
      <c r="C417">
        <v>27</v>
      </c>
      <c r="D417">
        <v>1</v>
      </c>
      <c r="E417">
        <v>0</v>
      </c>
      <c r="F417">
        <v>2</v>
      </c>
      <c r="G417">
        <v>1</v>
      </c>
      <c r="H417">
        <v>6</v>
      </c>
      <c r="I417">
        <v>8</v>
      </c>
      <c r="J417">
        <v>10</v>
      </c>
      <c r="K417">
        <f t="shared" si="8"/>
        <v>5</v>
      </c>
    </row>
    <row r="418" spans="2:11" x14ac:dyDescent="0.35">
      <c r="B418" t="s">
        <v>416</v>
      </c>
      <c r="C418">
        <v>42</v>
      </c>
      <c r="D418">
        <v>3</v>
      </c>
      <c r="E418">
        <v>1</v>
      </c>
      <c r="F418">
        <v>0</v>
      </c>
      <c r="G418">
        <v>3</v>
      </c>
      <c r="H418">
        <v>9</v>
      </c>
      <c r="I418">
        <v>6</v>
      </c>
      <c r="J418">
        <v>21</v>
      </c>
      <c r="K418">
        <f t="shared" si="8"/>
        <v>5</v>
      </c>
    </row>
    <row r="419" spans="2:11" x14ac:dyDescent="0.35">
      <c r="B419" t="s">
        <v>417</v>
      </c>
      <c r="C419">
        <v>21</v>
      </c>
      <c r="D419">
        <v>4</v>
      </c>
      <c r="E419">
        <v>0</v>
      </c>
      <c r="F419">
        <v>0</v>
      </c>
      <c r="G419">
        <v>6</v>
      </c>
      <c r="H419">
        <v>0</v>
      </c>
      <c r="I419">
        <v>4</v>
      </c>
      <c r="J419">
        <v>8</v>
      </c>
      <c r="K419">
        <f t="shared" si="8"/>
        <v>3</v>
      </c>
    </row>
    <row r="420" spans="2:11" x14ac:dyDescent="0.35">
      <c r="B420" t="s">
        <v>418</v>
      </c>
      <c r="C420">
        <v>19</v>
      </c>
      <c r="D420">
        <v>3</v>
      </c>
      <c r="E420">
        <v>1</v>
      </c>
      <c r="F420">
        <v>0</v>
      </c>
      <c r="G420">
        <v>0</v>
      </c>
      <c r="H420">
        <v>1</v>
      </c>
      <c r="I420">
        <v>3</v>
      </c>
      <c r="J420">
        <v>12</v>
      </c>
      <c r="K420">
        <f t="shared" si="8"/>
        <v>4</v>
      </c>
    </row>
    <row r="421" spans="2:11" x14ac:dyDescent="0.35">
      <c r="B421" t="s">
        <v>419</v>
      </c>
      <c r="C421">
        <v>13</v>
      </c>
      <c r="D421">
        <v>0</v>
      </c>
      <c r="E421">
        <v>0</v>
      </c>
      <c r="F421">
        <v>0</v>
      </c>
      <c r="G421">
        <v>0</v>
      </c>
      <c r="H421">
        <v>3</v>
      </c>
      <c r="I421">
        <v>1</v>
      </c>
      <c r="J421">
        <v>10</v>
      </c>
      <c r="K421">
        <f t="shared" si="8"/>
        <v>2</v>
      </c>
    </row>
    <row r="422" spans="2:11" x14ac:dyDescent="0.35">
      <c r="B422" t="s">
        <v>420</v>
      </c>
      <c r="C422">
        <v>63</v>
      </c>
      <c r="D422">
        <v>3</v>
      </c>
      <c r="E422">
        <v>0</v>
      </c>
      <c r="F422">
        <v>1</v>
      </c>
      <c r="G422">
        <v>1</v>
      </c>
      <c r="H422">
        <v>1</v>
      </c>
      <c r="I422">
        <v>3</v>
      </c>
      <c r="J422">
        <v>55</v>
      </c>
      <c r="K422">
        <f t="shared" si="8"/>
        <v>5</v>
      </c>
    </row>
    <row r="423" spans="2:11" x14ac:dyDescent="0.35">
      <c r="B423" t="s">
        <v>421</v>
      </c>
      <c r="C423">
        <v>45</v>
      </c>
      <c r="D423">
        <v>2</v>
      </c>
      <c r="E423">
        <v>0</v>
      </c>
      <c r="F423">
        <v>1</v>
      </c>
      <c r="G423">
        <v>1</v>
      </c>
      <c r="H423">
        <v>9</v>
      </c>
      <c r="I423">
        <v>13</v>
      </c>
      <c r="J423">
        <v>20</v>
      </c>
      <c r="K423">
        <f t="shared" si="8"/>
        <v>5</v>
      </c>
    </row>
    <row r="424" spans="2:11" x14ac:dyDescent="0.35">
      <c r="B424" t="s">
        <v>422</v>
      </c>
      <c r="C424">
        <v>23</v>
      </c>
      <c r="D424">
        <v>1</v>
      </c>
      <c r="E424">
        <v>0</v>
      </c>
      <c r="F424">
        <v>0</v>
      </c>
      <c r="G424">
        <v>13</v>
      </c>
      <c r="H424">
        <v>1</v>
      </c>
      <c r="I424">
        <v>1</v>
      </c>
      <c r="J424">
        <v>8</v>
      </c>
      <c r="K424">
        <f t="shared" si="8"/>
        <v>4</v>
      </c>
    </row>
    <row r="425" spans="2:11" x14ac:dyDescent="0.35">
      <c r="B425" t="s">
        <v>423</v>
      </c>
      <c r="C425">
        <v>16</v>
      </c>
      <c r="D425">
        <v>1</v>
      </c>
      <c r="E425">
        <v>1</v>
      </c>
      <c r="F425">
        <v>1</v>
      </c>
      <c r="G425">
        <v>0</v>
      </c>
      <c r="H425">
        <v>1</v>
      </c>
      <c r="I425">
        <v>2</v>
      </c>
      <c r="J425">
        <v>11</v>
      </c>
      <c r="K425">
        <f t="shared" si="8"/>
        <v>5</v>
      </c>
    </row>
    <row r="426" spans="2:11" x14ac:dyDescent="0.35">
      <c r="B426" t="s">
        <v>424</v>
      </c>
      <c r="C426">
        <v>73</v>
      </c>
      <c r="D426">
        <v>4</v>
      </c>
      <c r="E426">
        <v>0</v>
      </c>
      <c r="F426">
        <v>0</v>
      </c>
      <c r="G426">
        <v>14</v>
      </c>
      <c r="H426">
        <v>20</v>
      </c>
      <c r="I426">
        <v>6</v>
      </c>
      <c r="J426">
        <v>30</v>
      </c>
      <c r="K426">
        <f t="shared" si="8"/>
        <v>4</v>
      </c>
    </row>
    <row r="427" spans="2:11" x14ac:dyDescent="0.35">
      <c r="B427" t="s">
        <v>425</v>
      </c>
      <c r="C427">
        <v>17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7</v>
      </c>
      <c r="J427">
        <v>11</v>
      </c>
      <c r="K427">
        <f t="shared" si="8"/>
        <v>1</v>
      </c>
    </row>
    <row r="428" spans="2:11" x14ac:dyDescent="0.35">
      <c r="B428" t="s">
        <v>426</v>
      </c>
      <c r="C428">
        <v>17</v>
      </c>
      <c r="D428">
        <v>1</v>
      </c>
      <c r="E428">
        <v>0</v>
      </c>
      <c r="F428">
        <v>0</v>
      </c>
      <c r="G428">
        <v>0</v>
      </c>
      <c r="H428">
        <v>0</v>
      </c>
      <c r="I428">
        <v>6</v>
      </c>
      <c r="J428">
        <v>11</v>
      </c>
      <c r="K428">
        <f t="shared" si="8"/>
        <v>2</v>
      </c>
    </row>
    <row r="429" spans="2:11" x14ac:dyDescent="0.35">
      <c r="B429" t="s">
        <v>427</v>
      </c>
      <c r="C429">
        <v>17</v>
      </c>
      <c r="D429">
        <v>1</v>
      </c>
      <c r="E429">
        <v>0</v>
      </c>
      <c r="F429">
        <v>0</v>
      </c>
      <c r="G429">
        <v>0</v>
      </c>
      <c r="H429">
        <v>0</v>
      </c>
      <c r="I429">
        <v>6</v>
      </c>
      <c r="J429">
        <v>11</v>
      </c>
      <c r="K429">
        <f t="shared" si="8"/>
        <v>2</v>
      </c>
    </row>
    <row r="430" spans="2:11" x14ac:dyDescent="0.35">
      <c r="B430" t="s">
        <v>428</v>
      </c>
      <c r="C430">
        <v>20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11</v>
      </c>
      <c r="J430">
        <v>9</v>
      </c>
      <c r="K430">
        <f t="shared" si="8"/>
        <v>2</v>
      </c>
    </row>
    <row r="431" spans="2:11" x14ac:dyDescent="0.35">
      <c r="B431" t="s">
        <v>429</v>
      </c>
      <c r="C431">
        <v>24</v>
      </c>
      <c r="D431">
        <v>1</v>
      </c>
      <c r="E431">
        <v>0</v>
      </c>
      <c r="F431">
        <v>0</v>
      </c>
      <c r="G431">
        <v>0</v>
      </c>
      <c r="H431">
        <v>1</v>
      </c>
      <c r="I431">
        <v>3</v>
      </c>
      <c r="J431">
        <v>20</v>
      </c>
      <c r="K431">
        <f t="shared" si="8"/>
        <v>3</v>
      </c>
    </row>
    <row r="432" spans="2:11" x14ac:dyDescent="0.35">
      <c r="B432" t="s">
        <v>430</v>
      </c>
      <c r="C432">
        <v>24</v>
      </c>
      <c r="D432">
        <v>1</v>
      </c>
      <c r="E432">
        <v>0</v>
      </c>
      <c r="F432">
        <v>0</v>
      </c>
      <c r="G432">
        <v>0</v>
      </c>
      <c r="H432">
        <v>11</v>
      </c>
      <c r="I432">
        <v>6</v>
      </c>
      <c r="J432">
        <v>7</v>
      </c>
      <c r="K432">
        <f t="shared" si="8"/>
        <v>3</v>
      </c>
    </row>
    <row r="433" spans="2:11" x14ac:dyDescent="0.35">
      <c r="B433" t="s">
        <v>431</v>
      </c>
      <c r="C433">
        <v>10</v>
      </c>
      <c r="D433">
        <v>2</v>
      </c>
      <c r="E433">
        <v>0</v>
      </c>
      <c r="F433">
        <v>0</v>
      </c>
      <c r="G433">
        <v>3</v>
      </c>
      <c r="H433">
        <v>1</v>
      </c>
      <c r="I433">
        <v>2</v>
      </c>
      <c r="J433">
        <v>3</v>
      </c>
      <c r="K433">
        <f t="shared" si="8"/>
        <v>4</v>
      </c>
    </row>
    <row r="434" spans="2:11" x14ac:dyDescent="0.35">
      <c r="B434" t="s">
        <v>432</v>
      </c>
      <c r="C434">
        <v>16</v>
      </c>
      <c r="D434">
        <v>0</v>
      </c>
      <c r="E434">
        <v>1</v>
      </c>
      <c r="F434">
        <v>0</v>
      </c>
      <c r="G434">
        <v>1</v>
      </c>
      <c r="H434">
        <v>1</v>
      </c>
      <c r="I434">
        <v>2</v>
      </c>
      <c r="J434">
        <v>12</v>
      </c>
      <c r="K434">
        <f t="shared" si="8"/>
        <v>4</v>
      </c>
    </row>
    <row r="435" spans="2:11" x14ac:dyDescent="0.35">
      <c r="B435" t="s">
        <v>433</v>
      </c>
      <c r="C435">
        <v>45</v>
      </c>
      <c r="D435">
        <v>2</v>
      </c>
      <c r="E435">
        <v>0</v>
      </c>
      <c r="F435">
        <v>0</v>
      </c>
      <c r="G435">
        <v>0</v>
      </c>
      <c r="H435">
        <v>2</v>
      </c>
      <c r="I435">
        <v>12</v>
      </c>
      <c r="J435">
        <v>30</v>
      </c>
      <c r="K435">
        <f t="shared" si="8"/>
        <v>3</v>
      </c>
    </row>
    <row r="436" spans="2:11" x14ac:dyDescent="0.35">
      <c r="B436" t="s">
        <v>434</v>
      </c>
      <c r="C436">
        <v>7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7</v>
      </c>
      <c r="K436">
        <f t="shared" si="8"/>
        <v>1</v>
      </c>
    </row>
    <row r="437" spans="2:11" x14ac:dyDescent="0.35">
      <c r="B437" t="s">
        <v>435</v>
      </c>
      <c r="C437">
        <v>6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2</v>
      </c>
      <c r="J437">
        <v>4</v>
      </c>
      <c r="K437">
        <f t="shared" si="8"/>
        <v>2</v>
      </c>
    </row>
    <row r="438" spans="2:11" x14ac:dyDescent="0.35">
      <c r="B438" t="s">
        <v>436</v>
      </c>
      <c r="C438">
        <v>47</v>
      </c>
      <c r="D438">
        <v>12</v>
      </c>
      <c r="E438">
        <v>0</v>
      </c>
      <c r="F438">
        <v>0</v>
      </c>
      <c r="G438">
        <v>2</v>
      </c>
      <c r="H438">
        <v>2</v>
      </c>
      <c r="I438">
        <v>20</v>
      </c>
      <c r="J438">
        <v>12</v>
      </c>
      <c r="K438">
        <f t="shared" si="8"/>
        <v>4</v>
      </c>
    </row>
    <row r="439" spans="2:11" x14ac:dyDescent="0.35">
      <c r="B439" t="s">
        <v>437</v>
      </c>
      <c r="C439">
        <v>61</v>
      </c>
      <c r="D439">
        <v>1</v>
      </c>
      <c r="E439">
        <v>0</v>
      </c>
      <c r="F439">
        <v>0</v>
      </c>
      <c r="G439">
        <v>3</v>
      </c>
      <c r="H439">
        <v>19</v>
      </c>
      <c r="I439">
        <v>12</v>
      </c>
      <c r="J439">
        <v>27</v>
      </c>
      <c r="K439">
        <f t="shared" si="8"/>
        <v>4</v>
      </c>
    </row>
    <row r="440" spans="2:11" x14ac:dyDescent="0.35">
      <c r="B440" t="s">
        <v>438</v>
      </c>
      <c r="C440">
        <v>31</v>
      </c>
      <c r="D440">
        <v>3</v>
      </c>
      <c r="E440">
        <v>2</v>
      </c>
      <c r="F440">
        <v>0</v>
      </c>
      <c r="G440">
        <v>2</v>
      </c>
      <c r="H440">
        <v>2</v>
      </c>
      <c r="I440">
        <v>13</v>
      </c>
      <c r="J440">
        <v>10</v>
      </c>
      <c r="K440">
        <f t="shared" si="8"/>
        <v>5</v>
      </c>
    </row>
    <row r="441" spans="2:11" x14ac:dyDescent="0.35">
      <c r="B441" t="s">
        <v>439</v>
      </c>
      <c r="C441">
        <v>15</v>
      </c>
      <c r="D441">
        <v>0</v>
      </c>
      <c r="E441">
        <v>0</v>
      </c>
      <c r="F441">
        <v>0</v>
      </c>
      <c r="G441">
        <v>4</v>
      </c>
      <c r="H441">
        <v>4</v>
      </c>
      <c r="I441">
        <v>4</v>
      </c>
      <c r="J441">
        <v>4</v>
      </c>
      <c r="K441">
        <f t="shared" si="8"/>
        <v>3</v>
      </c>
    </row>
    <row r="442" spans="2:11" x14ac:dyDescent="0.35">
      <c r="B442" t="s">
        <v>440</v>
      </c>
      <c r="C442">
        <v>50</v>
      </c>
      <c r="D442">
        <v>1</v>
      </c>
      <c r="E442">
        <v>0</v>
      </c>
      <c r="F442">
        <v>2</v>
      </c>
      <c r="G442">
        <v>3</v>
      </c>
      <c r="H442">
        <v>1</v>
      </c>
      <c r="I442">
        <v>20</v>
      </c>
      <c r="J442">
        <v>24</v>
      </c>
      <c r="K442">
        <f t="shared" si="8"/>
        <v>5</v>
      </c>
    </row>
    <row r="443" spans="2:11" x14ac:dyDescent="0.35">
      <c r="B443" t="s">
        <v>441</v>
      </c>
      <c r="C443">
        <v>78</v>
      </c>
      <c r="D443">
        <v>3</v>
      </c>
      <c r="E443">
        <v>0</v>
      </c>
      <c r="F443">
        <v>0</v>
      </c>
      <c r="G443">
        <v>12</v>
      </c>
      <c r="H443">
        <v>11</v>
      </c>
      <c r="I443">
        <v>17</v>
      </c>
      <c r="J443">
        <v>36</v>
      </c>
      <c r="K443">
        <f t="shared" si="8"/>
        <v>4</v>
      </c>
    </row>
    <row r="444" spans="2:11" x14ac:dyDescent="0.35">
      <c r="B444" t="s">
        <v>442</v>
      </c>
      <c r="C444">
        <v>18</v>
      </c>
      <c r="D444">
        <v>1</v>
      </c>
      <c r="E444">
        <v>0</v>
      </c>
      <c r="F444">
        <v>0</v>
      </c>
      <c r="G444">
        <v>2</v>
      </c>
      <c r="H444">
        <v>3</v>
      </c>
      <c r="I444">
        <v>9</v>
      </c>
      <c r="J444">
        <v>4</v>
      </c>
      <c r="K444">
        <f t="shared" si="8"/>
        <v>4</v>
      </c>
    </row>
    <row r="445" spans="2:11" x14ac:dyDescent="0.35">
      <c r="B445" t="s">
        <v>443</v>
      </c>
      <c r="C445">
        <v>14</v>
      </c>
      <c r="D445">
        <v>1</v>
      </c>
      <c r="E445">
        <v>0</v>
      </c>
      <c r="F445">
        <v>0</v>
      </c>
      <c r="G445">
        <v>3</v>
      </c>
      <c r="H445">
        <v>3</v>
      </c>
      <c r="I445">
        <v>6</v>
      </c>
      <c r="J445">
        <v>2</v>
      </c>
      <c r="K445">
        <f t="shared" si="8"/>
        <v>4</v>
      </c>
    </row>
    <row r="446" spans="2:11" x14ac:dyDescent="0.35">
      <c r="B446" t="s">
        <v>444</v>
      </c>
      <c r="C446">
        <v>32</v>
      </c>
      <c r="D446">
        <v>1</v>
      </c>
      <c r="E446">
        <v>0</v>
      </c>
      <c r="F446">
        <v>0</v>
      </c>
      <c r="G446">
        <v>2</v>
      </c>
      <c r="H446">
        <v>10</v>
      </c>
      <c r="I446">
        <v>13</v>
      </c>
      <c r="J446">
        <v>7</v>
      </c>
      <c r="K446">
        <f t="shared" si="8"/>
        <v>4</v>
      </c>
    </row>
    <row r="447" spans="2:11" x14ac:dyDescent="0.35">
      <c r="B447" t="s">
        <v>445</v>
      </c>
      <c r="C447">
        <v>52</v>
      </c>
      <c r="D447">
        <v>6</v>
      </c>
      <c r="E447">
        <v>0</v>
      </c>
      <c r="F447">
        <v>1</v>
      </c>
      <c r="G447">
        <v>12</v>
      </c>
      <c r="H447">
        <v>9</v>
      </c>
      <c r="I447">
        <v>9</v>
      </c>
      <c r="J447">
        <v>16</v>
      </c>
      <c r="K447">
        <f t="shared" si="8"/>
        <v>5</v>
      </c>
    </row>
    <row r="448" spans="2:11" x14ac:dyDescent="0.35">
      <c r="B448" t="s">
        <v>446</v>
      </c>
      <c r="C448">
        <v>4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2</v>
      </c>
      <c r="J448">
        <v>2</v>
      </c>
      <c r="K448">
        <f t="shared" si="8"/>
        <v>2</v>
      </c>
    </row>
    <row r="449" spans="2:11" x14ac:dyDescent="0.35">
      <c r="B449" t="s">
        <v>447</v>
      </c>
      <c r="C449">
        <v>77</v>
      </c>
      <c r="D449">
        <v>10</v>
      </c>
      <c r="E449">
        <v>0</v>
      </c>
      <c r="F449">
        <v>0</v>
      </c>
      <c r="G449">
        <v>0</v>
      </c>
      <c r="H449">
        <v>8</v>
      </c>
      <c r="I449">
        <v>36</v>
      </c>
      <c r="J449">
        <v>24</v>
      </c>
      <c r="K449">
        <f t="shared" si="8"/>
        <v>3</v>
      </c>
    </row>
    <row r="450" spans="2:11" x14ac:dyDescent="0.35">
      <c r="B450" t="s">
        <v>448</v>
      </c>
      <c r="C450">
        <v>75</v>
      </c>
      <c r="D450">
        <v>6</v>
      </c>
      <c r="E450">
        <v>2</v>
      </c>
      <c r="F450">
        <v>1</v>
      </c>
      <c r="G450">
        <v>1</v>
      </c>
      <c r="H450">
        <v>6</v>
      </c>
      <c r="I450">
        <v>30</v>
      </c>
      <c r="J450">
        <v>30</v>
      </c>
      <c r="K450">
        <f t="shared" si="8"/>
        <v>6</v>
      </c>
    </row>
    <row r="451" spans="2:11" x14ac:dyDescent="0.35">
      <c r="B451" t="s">
        <v>449</v>
      </c>
      <c r="C451">
        <v>130</v>
      </c>
      <c r="D451">
        <v>3</v>
      </c>
      <c r="E451">
        <v>0</v>
      </c>
      <c r="F451">
        <v>0</v>
      </c>
      <c r="G451">
        <v>2</v>
      </c>
      <c r="H451">
        <v>67</v>
      </c>
      <c r="I451">
        <v>8</v>
      </c>
      <c r="J451">
        <v>51</v>
      </c>
      <c r="K451">
        <f t="shared" si="8"/>
        <v>4</v>
      </c>
    </row>
    <row r="452" spans="2:11" x14ac:dyDescent="0.35">
      <c r="B452" t="s">
        <v>450</v>
      </c>
      <c r="C452">
        <v>10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2</v>
      </c>
      <c r="J452">
        <v>8</v>
      </c>
      <c r="K452">
        <f t="shared" si="8"/>
        <v>2</v>
      </c>
    </row>
    <row r="453" spans="2:11" x14ac:dyDescent="0.35">
      <c r="B453" t="s">
        <v>451</v>
      </c>
      <c r="C453">
        <v>12</v>
      </c>
      <c r="D453">
        <v>0</v>
      </c>
      <c r="E453">
        <v>0</v>
      </c>
      <c r="F453">
        <v>0</v>
      </c>
      <c r="G453">
        <v>2</v>
      </c>
      <c r="H453">
        <v>1</v>
      </c>
      <c r="I453">
        <v>2</v>
      </c>
      <c r="J453">
        <v>8</v>
      </c>
      <c r="K453">
        <f t="shared" si="8"/>
        <v>3</v>
      </c>
    </row>
    <row r="454" spans="2:11" x14ac:dyDescent="0.35">
      <c r="B454" t="s">
        <v>452</v>
      </c>
      <c r="C454">
        <v>9</v>
      </c>
      <c r="D454">
        <v>1</v>
      </c>
      <c r="E454">
        <v>0</v>
      </c>
      <c r="F454">
        <v>0</v>
      </c>
      <c r="G454">
        <v>0</v>
      </c>
      <c r="H454">
        <v>1</v>
      </c>
      <c r="I454">
        <v>3</v>
      </c>
      <c r="J454">
        <v>5</v>
      </c>
      <c r="K454">
        <f t="shared" si="8"/>
        <v>3</v>
      </c>
    </row>
    <row r="455" spans="2:11" x14ac:dyDescent="0.35">
      <c r="B455" t="s">
        <v>453</v>
      </c>
      <c r="C455">
        <v>25</v>
      </c>
      <c r="D455">
        <v>3</v>
      </c>
      <c r="E455">
        <v>0</v>
      </c>
      <c r="F455">
        <v>0</v>
      </c>
      <c r="G455">
        <v>0</v>
      </c>
      <c r="H455">
        <v>0</v>
      </c>
      <c r="I455">
        <v>3</v>
      </c>
      <c r="J455">
        <v>20</v>
      </c>
      <c r="K455">
        <f t="shared" si="8"/>
        <v>2</v>
      </c>
    </row>
    <row r="456" spans="2:11" x14ac:dyDescent="0.35">
      <c r="B456" t="s">
        <v>454</v>
      </c>
      <c r="C456">
        <v>29</v>
      </c>
      <c r="D456">
        <v>1</v>
      </c>
      <c r="E456">
        <v>0</v>
      </c>
      <c r="F456">
        <v>0</v>
      </c>
      <c r="G456">
        <v>0</v>
      </c>
      <c r="H456">
        <v>1</v>
      </c>
      <c r="I456">
        <v>14</v>
      </c>
      <c r="J456">
        <v>14</v>
      </c>
      <c r="K456">
        <f t="shared" si="8"/>
        <v>3</v>
      </c>
    </row>
    <row r="457" spans="2:11" x14ac:dyDescent="0.35">
      <c r="B457" t="s">
        <v>455</v>
      </c>
      <c r="C457">
        <v>28</v>
      </c>
      <c r="D457">
        <v>4</v>
      </c>
      <c r="E457">
        <v>0</v>
      </c>
      <c r="F457">
        <v>0</v>
      </c>
      <c r="G457">
        <v>1</v>
      </c>
      <c r="H457">
        <v>2</v>
      </c>
      <c r="I457">
        <v>13</v>
      </c>
      <c r="J457">
        <v>9</v>
      </c>
      <c r="K457">
        <f t="shared" si="8"/>
        <v>4</v>
      </c>
    </row>
    <row r="458" spans="2:11" x14ac:dyDescent="0.35">
      <c r="B458" t="s">
        <v>456</v>
      </c>
      <c r="C458">
        <v>51</v>
      </c>
      <c r="D458">
        <v>8</v>
      </c>
      <c r="E458">
        <v>0</v>
      </c>
      <c r="F458">
        <v>0</v>
      </c>
      <c r="G458">
        <v>3</v>
      </c>
      <c r="H458">
        <v>7</v>
      </c>
      <c r="I458">
        <v>15</v>
      </c>
      <c r="J458">
        <v>19</v>
      </c>
      <c r="K458">
        <f t="shared" si="8"/>
        <v>4</v>
      </c>
    </row>
    <row r="459" spans="2:11" x14ac:dyDescent="0.35">
      <c r="B459" t="s">
        <v>457</v>
      </c>
      <c r="C459">
        <v>44</v>
      </c>
      <c r="D459">
        <v>5</v>
      </c>
      <c r="E459">
        <v>0</v>
      </c>
      <c r="F459">
        <v>0</v>
      </c>
      <c r="G459">
        <v>1</v>
      </c>
      <c r="H459">
        <v>2</v>
      </c>
      <c r="I459">
        <v>13</v>
      </c>
      <c r="J459">
        <v>24</v>
      </c>
      <c r="K459">
        <f t="shared" si="8"/>
        <v>4</v>
      </c>
    </row>
    <row r="460" spans="2:11" x14ac:dyDescent="0.35">
      <c r="B460" t="s">
        <v>458</v>
      </c>
      <c r="C460">
        <v>24</v>
      </c>
      <c r="D460">
        <v>4</v>
      </c>
      <c r="E460">
        <v>0</v>
      </c>
      <c r="F460">
        <v>0</v>
      </c>
      <c r="G460">
        <v>4</v>
      </c>
      <c r="H460">
        <v>3</v>
      </c>
      <c r="I460">
        <v>9</v>
      </c>
      <c r="J460">
        <v>5</v>
      </c>
      <c r="K460">
        <f t="shared" ref="K460:K523" si="9">COUNTIF(D460:I460, "&gt;0")</f>
        <v>4</v>
      </c>
    </row>
    <row r="461" spans="2:11" x14ac:dyDescent="0.35">
      <c r="B461" t="s">
        <v>459</v>
      </c>
      <c r="C461">
        <v>28</v>
      </c>
      <c r="D461">
        <v>4</v>
      </c>
      <c r="E461">
        <v>0</v>
      </c>
      <c r="F461">
        <v>1</v>
      </c>
      <c r="G461">
        <v>2</v>
      </c>
      <c r="H461">
        <v>3</v>
      </c>
      <c r="I461">
        <v>10</v>
      </c>
      <c r="J461">
        <v>9</v>
      </c>
      <c r="K461">
        <f t="shared" si="9"/>
        <v>5</v>
      </c>
    </row>
    <row r="462" spans="2:11" x14ac:dyDescent="0.35">
      <c r="B462" t="s">
        <v>460</v>
      </c>
      <c r="C462">
        <v>7</v>
      </c>
      <c r="D462">
        <v>1</v>
      </c>
      <c r="E462">
        <v>0</v>
      </c>
      <c r="F462">
        <v>0</v>
      </c>
      <c r="G462">
        <v>0</v>
      </c>
      <c r="H462">
        <v>0</v>
      </c>
      <c r="I462">
        <v>5</v>
      </c>
      <c r="J462">
        <v>2</v>
      </c>
      <c r="K462">
        <f t="shared" si="9"/>
        <v>2</v>
      </c>
    </row>
    <row r="463" spans="2:11" x14ac:dyDescent="0.35">
      <c r="B463" t="s">
        <v>461</v>
      </c>
      <c r="C463">
        <v>32</v>
      </c>
      <c r="D463">
        <v>5</v>
      </c>
      <c r="E463">
        <v>1</v>
      </c>
      <c r="F463">
        <v>0</v>
      </c>
      <c r="G463">
        <v>0</v>
      </c>
      <c r="H463">
        <v>5</v>
      </c>
      <c r="I463">
        <v>6</v>
      </c>
      <c r="J463">
        <v>16</v>
      </c>
      <c r="K463">
        <f t="shared" si="9"/>
        <v>4</v>
      </c>
    </row>
    <row r="464" spans="2:11" x14ac:dyDescent="0.35">
      <c r="B464" t="s">
        <v>462</v>
      </c>
      <c r="C464">
        <v>71</v>
      </c>
      <c r="D464">
        <v>2</v>
      </c>
      <c r="E464">
        <v>0</v>
      </c>
      <c r="F464">
        <v>0</v>
      </c>
      <c r="G464">
        <v>6</v>
      </c>
      <c r="H464">
        <v>10</v>
      </c>
      <c r="I464">
        <v>11</v>
      </c>
      <c r="J464">
        <v>43</v>
      </c>
      <c r="K464">
        <f t="shared" si="9"/>
        <v>4</v>
      </c>
    </row>
    <row r="465" spans="2:11" x14ac:dyDescent="0.35">
      <c r="B465" t="s">
        <v>463</v>
      </c>
      <c r="C465">
        <v>2</v>
      </c>
      <c r="D465">
        <v>0</v>
      </c>
      <c r="E465">
        <v>0</v>
      </c>
      <c r="F465">
        <v>0</v>
      </c>
      <c r="G465">
        <v>0</v>
      </c>
      <c r="H465">
        <v>1</v>
      </c>
      <c r="I465">
        <v>0</v>
      </c>
      <c r="J465">
        <v>2</v>
      </c>
      <c r="K465">
        <f t="shared" si="9"/>
        <v>1</v>
      </c>
    </row>
    <row r="466" spans="2:11" x14ac:dyDescent="0.35">
      <c r="B466" t="s">
        <v>464</v>
      </c>
      <c r="C466">
        <v>36</v>
      </c>
      <c r="D466">
        <v>2</v>
      </c>
      <c r="E466">
        <v>1</v>
      </c>
      <c r="F466">
        <v>0</v>
      </c>
      <c r="G466">
        <v>0</v>
      </c>
      <c r="H466">
        <v>1</v>
      </c>
      <c r="I466">
        <v>10</v>
      </c>
      <c r="J466">
        <v>23</v>
      </c>
      <c r="K466">
        <f t="shared" si="9"/>
        <v>4</v>
      </c>
    </row>
    <row r="467" spans="2:11" x14ac:dyDescent="0.35">
      <c r="B467" t="s">
        <v>465</v>
      </c>
      <c r="C467">
        <v>25</v>
      </c>
      <c r="D467">
        <v>0</v>
      </c>
      <c r="E467">
        <v>0</v>
      </c>
      <c r="F467">
        <v>0</v>
      </c>
      <c r="G467">
        <v>11</v>
      </c>
      <c r="H467">
        <v>2</v>
      </c>
      <c r="I467">
        <v>5</v>
      </c>
      <c r="J467">
        <v>8</v>
      </c>
      <c r="K467">
        <f t="shared" si="9"/>
        <v>3</v>
      </c>
    </row>
    <row r="468" spans="2:11" x14ac:dyDescent="0.35">
      <c r="B468" t="s">
        <v>466</v>
      </c>
      <c r="C468">
        <v>26</v>
      </c>
      <c r="D468">
        <v>1</v>
      </c>
      <c r="E468">
        <v>0</v>
      </c>
      <c r="F468">
        <v>0</v>
      </c>
      <c r="G468">
        <v>0</v>
      </c>
      <c r="H468">
        <v>0</v>
      </c>
      <c r="I468">
        <v>9</v>
      </c>
      <c r="J468">
        <v>17</v>
      </c>
      <c r="K468">
        <f t="shared" si="9"/>
        <v>2</v>
      </c>
    </row>
    <row r="469" spans="2:11" x14ac:dyDescent="0.35">
      <c r="B469" t="s">
        <v>467</v>
      </c>
      <c r="C469">
        <v>4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2</v>
      </c>
      <c r="J469">
        <v>3</v>
      </c>
      <c r="K469">
        <f t="shared" si="9"/>
        <v>1</v>
      </c>
    </row>
    <row r="470" spans="2:11" x14ac:dyDescent="0.35">
      <c r="B470" t="s">
        <v>468</v>
      </c>
      <c r="C470">
        <v>16</v>
      </c>
      <c r="D470">
        <v>3</v>
      </c>
      <c r="E470">
        <v>0</v>
      </c>
      <c r="F470">
        <v>1</v>
      </c>
      <c r="G470">
        <v>0</v>
      </c>
      <c r="H470">
        <v>0</v>
      </c>
      <c r="I470">
        <v>5</v>
      </c>
      <c r="J470">
        <v>8</v>
      </c>
      <c r="K470">
        <f t="shared" si="9"/>
        <v>3</v>
      </c>
    </row>
    <row r="471" spans="2:11" x14ac:dyDescent="0.35">
      <c r="B471" t="s">
        <v>469</v>
      </c>
      <c r="C471">
        <v>45</v>
      </c>
      <c r="D471">
        <v>0</v>
      </c>
      <c r="E471">
        <v>1</v>
      </c>
      <c r="F471">
        <v>0</v>
      </c>
      <c r="G471">
        <v>0</v>
      </c>
      <c r="H471">
        <v>3</v>
      </c>
      <c r="I471">
        <v>19</v>
      </c>
      <c r="J471">
        <v>23</v>
      </c>
      <c r="K471">
        <f t="shared" si="9"/>
        <v>3</v>
      </c>
    </row>
    <row r="472" spans="2:11" x14ac:dyDescent="0.35">
      <c r="B472" t="s">
        <v>470</v>
      </c>
      <c r="C472">
        <v>115</v>
      </c>
      <c r="D472">
        <v>1</v>
      </c>
      <c r="E472">
        <v>0</v>
      </c>
      <c r="F472">
        <v>1</v>
      </c>
      <c r="G472">
        <v>7</v>
      </c>
      <c r="H472">
        <v>61</v>
      </c>
      <c r="I472">
        <v>6</v>
      </c>
      <c r="J472">
        <v>40</v>
      </c>
      <c r="K472">
        <f t="shared" si="9"/>
        <v>5</v>
      </c>
    </row>
    <row r="473" spans="2:11" x14ac:dyDescent="0.35">
      <c r="B473" t="s">
        <v>471</v>
      </c>
      <c r="C473">
        <v>34</v>
      </c>
      <c r="D473">
        <v>1</v>
      </c>
      <c r="E473">
        <v>0</v>
      </c>
      <c r="F473">
        <v>0</v>
      </c>
      <c r="G473">
        <v>1</v>
      </c>
      <c r="H473">
        <v>13</v>
      </c>
      <c r="I473">
        <v>3</v>
      </c>
      <c r="J473">
        <v>17</v>
      </c>
      <c r="K473">
        <f t="shared" si="9"/>
        <v>4</v>
      </c>
    </row>
    <row r="474" spans="2:11" x14ac:dyDescent="0.35">
      <c r="B474" t="s">
        <v>472</v>
      </c>
      <c r="C474">
        <v>97</v>
      </c>
      <c r="D474">
        <v>7</v>
      </c>
      <c r="E474">
        <v>1</v>
      </c>
      <c r="F474">
        <v>2</v>
      </c>
      <c r="G474">
        <v>6</v>
      </c>
      <c r="H474">
        <v>8</v>
      </c>
      <c r="I474">
        <v>42</v>
      </c>
      <c r="J474">
        <v>32</v>
      </c>
      <c r="K474">
        <f t="shared" si="9"/>
        <v>6</v>
      </c>
    </row>
    <row r="475" spans="2:11" x14ac:dyDescent="0.35">
      <c r="B475" t="s">
        <v>473</v>
      </c>
      <c r="C475">
        <v>16</v>
      </c>
      <c r="D475">
        <v>3</v>
      </c>
      <c r="E475">
        <v>0</v>
      </c>
      <c r="F475">
        <v>0</v>
      </c>
      <c r="G475">
        <v>0</v>
      </c>
      <c r="H475">
        <v>0</v>
      </c>
      <c r="I475">
        <v>5</v>
      </c>
      <c r="J475">
        <v>9</v>
      </c>
      <c r="K475">
        <f t="shared" si="9"/>
        <v>2</v>
      </c>
    </row>
    <row r="476" spans="2:11" x14ac:dyDescent="0.35">
      <c r="B476" t="s">
        <v>474</v>
      </c>
      <c r="C476">
        <v>63</v>
      </c>
      <c r="D476">
        <v>4</v>
      </c>
      <c r="E476">
        <v>0</v>
      </c>
      <c r="F476">
        <v>0</v>
      </c>
      <c r="G476">
        <v>1</v>
      </c>
      <c r="H476">
        <v>4</v>
      </c>
      <c r="I476">
        <v>36</v>
      </c>
      <c r="J476">
        <v>19</v>
      </c>
      <c r="K476">
        <f t="shared" si="9"/>
        <v>4</v>
      </c>
    </row>
    <row r="477" spans="2:11" x14ac:dyDescent="0.35">
      <c r="B477" t="s">
        <v>475</v>
      </c>
      <c r="C477">
        <v>6</v>
      </c>
      <c r="D477">
        <v>1</v>
      </c>
      <c r="E477">
        <v>0</v>
      </c>
      <c r="F477">
        <v>0</v>
      </c>
      <c r="G477">
        <v>0</v>
      </c>
      <c r="H477">
        <v>1</v>
      </c>
      <c r="I477">
        <v>0</v>
      </c>
      <c r="J477">
        <v>5</v>
      </c>
      <c r="K477">
        <f t="shared" si="9"/>
        <v>2</v>
      </c>
    </row>
    <row r="478" spans="2:11" x14ac:dyDescent="0.35">
      <c r="B478" t="s">
        <v>476</v>
      </c>
      <c r="C478">
        <v>25</v>
      </c>
      <c r="D478">
        <v>2</v>
      </c>
      <c r="E478">
        <v>0</v>
      </c>
      <c r="F478">
        <v>0</v>
      </c>
      <c r="G478">
        <v>4</v>
      </c>
      <c r="H478">
        <v>1</v>
      </c>
      <c r="I478">
        <v>13</v>
      </c>
      <c r="J478">
        <v>6</v>
      </c>
      <c r="K478">
        <f t="shared" si="9"/>
        <v>4</v>
      </c>
    </row>
    <row r="479" spans="2:11" x14ac:dyDescent="0.35">
      <c r="B479" t="s">
        <v>477</v>
      </c>
      <c r="C479">
        <v>12</v>
      </c>
      <c r="D479">
        <v>2</v>
      </c>
      <c r="E479">
        <v>0</v>
      </c>
      <c r="F479">
        <v>0</v>
      </c>
      <c r="G479">
        <v>0</v>
      </c>
      <c r="H479">
        <v>0</v>
      </c>
      <c r="I479">
        <v>6</v>
      </c>
      <c r="J479">
        <v>5</v>
      </c>
      <c r="K479">
        <f t="shared" si="9"/>
        <v>2</v>
      </c>
    </row>
    <row r="480" spans="2:11" x14ac:dyDescent="0.35">
      <c r="B480" t="s">
        <v>478</v>
      </c>
      <c r="C480">
        <v>9</v>
      </c>
      <c r="D480">
        <v>1</v>
      </c>
      <c r="E480">
        <v>0</v>
      </c>
      <c r="F480">
        <v>0</v>
      </c>
      <c r="G480">
        <v>0</v>
      </c>
      <c r="H480">
        <v>0</v>
      </c>
      <c r="I480">
        <v>3</v>
      </c>
      <c r="J480">
        <v>6</v>
      </c>
      <c r="K480">
        <f t="shared" si="9"/>
        <v>2</v>
      </c>
    </row>
    <row r="481" spans="2:11" x14ac:dyDescent="0.35">
      <c r="B481" t="s">
        <v>479</v>
      </c>
      <c r="C481">
        <v>11</v>
      </c>
      <c r="D481">
        <v>3</v>
      </c>
      <c r="E481">
        <v>0</v>
      </c>
      <c r="F481">
        <v>0</v>
      </c>
      <c r="G481">
        <v>0</v>
      </c>
      <c r="H481">
        <v>0</v>
      </c>
      <c r="I481">
        <v>2</v>
      </c>
      <c r="J481">
        <v>7</v>
      </c>
      <c r="K481">
        <f t="shared" si="9"/>
        <v>2</v>
      </c>
    </row>
    <row r="482" spans="2:11" x14ac:dyDescent="0.35">
      <c r="B482" t="s">
        <v>480</v>
      </c>
      <c r="C482">
        <v>25</v>
      </c>
      <c r="D482">
        <v>2</v>
      </c>
      <c r="E482">
        <v>0</v>
      </c>
      <c r="F482">
        <v>0</v>
      </c>
      <c r="G482">
        <v>0</v>
      </c>
      <c r="H482">
        <v>2</v>
      </c>
      <c r="I482">
        <v>7</v>
      </c>
      <c r="J482">
        <v>15</v>
      </c>
      <c r="K482">
        <f t="shared" si="9"/>
        <v>3</v>
      </c>
    </row>
    <row r="483" spans="2:11" x14ac:dyDescent="0.35">
      <c r="B483" t="s">
        <v>481</v>
      </c>
      <c r="C483">
        <v>10</v>
      </c>
      <c r="D483">
        <v>0</v>
      </c>
      <c r="E483">
        <v>0</v>
      </c>
      <c r="F483">
        <v>0</v>
      </c>
      <c r="G483">
        <v>0</v>
      </c>
      <c r="H483">
        <v>1</v>
      </c>
      <c r="I483">
        <v>6</v>
      </c>
      <c r="J483">
        <v>4</v>
      </c>
      <c r="K483">
        <f t="shared" si="9"/>
        <v>2</v>
      </c>
    </row>
    <row r="484" spans="2:11" x14ac:dyDescent="0.35">
      <c r="B484" t="s">
        <v>482</v>
      </c>
      <c r="C484">
        <v>16</v>
      </c>
      <c r="D484">
        <v>0</v>
      </c>
      <c r="E484">
        <v>0</v>
      </c>
      <c r="F484">
        <v>1</v>
      </c>
      <c r="G484">
        <v>0</v>
      </c>
      <c r="H484">
        <v>2</v>
      </c>
      <c r="I484">
        <v>1</v>
      </c>
      <c r="J484">
        <v>13</v>
      </c>
      <c r="K484">
        <f t="shared" si="9"/>
        <v>3</v>
      </c>
    </row>
    <row r="485" spans="2:11" x14ac:dyDescent="0.35">
      <c r="B485" t="s">
        <v>483</v>
      </c>
      <c r="C485">
        <v>28</v>
      </c>
      <c r="D485">
        <v>4</v>
      </c>
      <c r="E485">
        <v>0</v>
      </c>
      <c r="F485">
        <v>0</v>
      </c>
      <c r="G485">
        <v>4</v>
      </c>
      <c r="H485">
        <v>1</v>
      </c>
      <c r="I485">
        <v>3</v>
      </c>
      <c r="J485">
        <v>17</v>
      </c>
      <c r="K485">
        <f t="shared" si="9"/>
        <v>4</v>
      </c>
    </row>
    <row r="486" spans="2:11" x14ac:dyDescent="0.35">
      <c r="B486" t="s">
        <v>484</v>
      </c>
      <c r="C486">
        <v>36</v>
      </c>
      <c r="D486">
        <v>0</v>
      </c>
      <c r="E486">
        <v>0</v>
      </c>
      <c r="F486">
        <v>0</v>
      </c>
      <c r="G486">
        <v>2</v>
      </c>
      <c r="H486">
        <v>9</v>
      </c>
      <c r="I486">
        <v>5</v>
      </c>
      <c r="J486">
        <v>21</v>
      </c>
      <c r="K486">
        <f t="shared" si="9"/>
        <v>3</v>
      </c>
    </row>
    <row r="487" spans="2:11" x14ac:dyDescent="0.35">
      <c r="B487" t="s">
        <v>485</v>
      </c>
      <c r="C487">
        <v>18</v>
      </c>
      <c r="D487">
        <v>1</v>
      </c>
      <c r="E487">
        <v>0</v>
      </c>
      <c r="F487">
        <v>0</v>
      </c>
      <c r="G487">
        <v>4</v>
      </c>
      <c r="H487">
        <v>2</v>
      </c>
      <c r="I487">
        <v>5</v>
      </c>
      <c r="J487">
        <v>7</v>
      </c>
      <c r="K487">
        <f t="shared" si="9"/>
        <v>4</v>
      </c>
    </row>
    <row r="488" spans="2:11" x14ac:dyDescent="0.35">
      <c r="B488" t="s">
        <v>486</v>
      </c>
      <c r="C488">
        <v>49</v>
      </c>
      <c r="D488">
        <v>4</v>
      </c>
      <c r="E488">
        <v>0</v>
      </c>
      <c r="F488">
        <v>0</v>
      </c>
      <c r="G488">
        <v>4</v>
      </c>
      <c r="H488">
        <v>4</v>
      </c>
      <c r="I488">
        <v>13</v>
      </c>
      <c r="J488">
        <v>25</v>
      </c>
      <c r="K488">
        <f t="shared" si="9"/>
        <v>4</v>
      </c>
    </row>
    <row r="489" spans="2:11" x14ac:dyDescent="0.35">
      <c r="B489" t="s">
        <v>487</v>
      </c>
      <c r="C489">
        <v>20</v>
      </c>
      <c r="D489">
        <v>1</v>
      </c>
      <c r="E489">
        <v>0</v>
      </c>
      <c r="F489">
        <v>0</v>
      </c>
      <c r="G489">
        <v>0</v>
      </c>
      <c r="H489">
        <v>1</v>
      </c>
      <c r="I489">
        <v>12</v>
      </c>
      <c r="J489">
        <v>7</v>
      </c>
      <c r="K489">
        <f t="shared" si="9"/>
        <v>3</v>
      </c>
    </row>
    <row r="490" spans="2:11" x14ac:dyDescent="0.35">
      <c r="B490" t="s">
        <v>488</v>
      </c>
      <c r="C490">
        <v>26</v>
      </c>
      <c r="D490">
        <v>1</v>
      </c>
      <c r="E490">
        <v>0</v>
      </c>
      <c r="F490">
        <v>2</v>
      </c>
      <c r="G490">
        <v>0</v>
      </c>
      <c r="H490">
        <v>7</v>
      </c>
      <c r="I490">
        <v>6</v>
      </c>
      <c r="J490">
        <v>11</v>
      </c>
      <c r="K490">
        <f t="shared" si="9"/>
        <v>4</v>
      </c>
    </row>
    <row r="491" spans="2:11" x14ac:dyDescent="0.35">
      <c r="B491" t="s">
        <v>489</v>
      </c>
      <c r="C491">
        <v>34</v>
      </c>
      <c r="D491">
        <v>0</v>
      </c>
      <c r="E491">
        <v>0</v>
      </c>
      <c r="F491">
        <v>0</v>
      </c>
      <c r="G491">
        <v>0</v>
      </c>
      <c r="H491">
        <v>3</v>
      </c>
      <c r="I491">
        <v>3</v>
      </c>
      <c r="J491">
        <v>29</v>
      </c>
      <c r="K491">
        <f t="shared" si="9"/>
        <v>2</v>
      </c>
    </row>
    <row r="492" spans="2:11" x14ac:dyDescent="0.35">
      <c r="B492" t="s">
        <v>490</v>
      </c>
      <c r="C492">
        <v>59</v>
      </c>
      <c r="D492">
        <v>0</v>
      </c>
      <c r="E492">
        <v>1</v>
      </c>
      <c r="F492">
        <v>0</v>
      </c>
      <c r="G492">
        <v>1</v>
      </c>
      <c r="H492">
        <v>23</v>
      </c>
      <c r="I492">
        <v>7</v>
      </c>
      <c r="J492">
        <v>28</v>
      </c>
      <c r="K492">
        <f t="shared" si="9"/>
        <v>4</v>
      </c>
    </row>
    <row r="493" spans="2:11" x14ac:dyDescent="0.35">
      <c r="B493" t="s">
        <v>491</v>
      </c>
      <c r="C493">
        <v>32</v>
      </c>
      <c r="D493">
        <v>0</v>
      </c>
      <c r="E493">
        <v>0</v>
      </c>
      <c r="F493">
        <v>0</v>
      </c>
      <c r="G493">
        <v>2</v>
      </c>
      <c r="H493">
        <v>9</v>
      </c>
      <c r="I493">
        <v>10</v>
      </c>
      <c r="J493">
        <v>12</v>
      </c>
      <c r="K493">
        <f t="shared" si="9"/>
        <v>3</v>
      </c>
    </row>
    <row r="494" spans="2:11" x14ac:dyDescent="0.35">
      <c r="B494" t="s">
        <v>492</v>
      </c>
      <c r="C494">
        <v>49</v>
      </c>
      <c r="D494">
        <v>6</v>
      </c>
      <c r="E494">
        <v>2</v>
      </c>
      <c r="F494">
        <v>0</v>
      </c>
      <c r="G494">
        <v>16</v>
      </c>
      <c r="H494">
        <v>8</v>
      </c>
      <c r="I494">
        <v>7</v>
      </c>
      <c r="J494">
        <v>11</v>
      </c>
      <c r="K494">
        <f t="shared" si="9"/>
        <v>5</v>
      </c>
    </row>
    <row r="495" spans="2:11" x14ac:dyDescent="0.35">
      <c r="B495" t="s">
        <v>493</v>
      </c>
      <c r="C495">
        <v>34</v>
      </c>
      <c r="D495">
        <v>0</v>
      </c>
      <c r="E495">
        <v>0</v>
      </c>
      <c r="F495">
        <v>1</v>
      </c>
      <c r="G495">
        <v>4</v>
      </c>
      <c r="H495">
        <v>1</v>
      </c>
      <c r="I495">
        <v>12</v>
      </c>
      <c r="J495">
        <v>17</v>
      </c>
      <c r="K495">
        <f t="shared" si="9"/>
        <v>4</v>
      </c>
    </row>
    <row r="496" spans="2:11" x14ac:dyDescent="0.35">
      <c r="B496" t="s">
        <v>494</v>
      </c>
      <c r="C496">
        <v>69</v>
      </c>
      <c r="D496">
        <v>1</v>
      </c>
      <c r="E496">
        <v>0</v>
      </c>
      <c r="F496">
        <v>2</v>
      </c>
      <c r="G496">
        <v>2</v>
      </c>
      <c r="H496">
        <v>0</v>
      </c>
      <c r="I496">
        <v>16</v>
      </c>
      <c r="J496">
        <v>49</v>
      </c>
      <c r="K496">
        <f t="shared" si="9"/>
        <v>4</v>
      </c>
    </row>
    <row r="497" spans="2:11" x14ac:dyDescent="0.35">
      <c r="B497" t="s">
        <v>495</v>
      </c>
      <c r="C497">
        <v>62</v>
      </c>
      <c r="D497">
        <v>4</v>
      </c>
      <c r="E497">
        <v>0</v>
      </c>
      <c r="F497">
        <v>0</v>
      </c>
      <c r="G497">
        <v>11</v>
      </c>
      <c r="H497">
        <v>7</v>
      </c>
      <c r="I497">
        <v>12</v>
      </c>
      <c r="J497">
        <v>29</v>
      </c>
      <c r="K497">
        <f t="shared" si="9"/>
        <v>4</v>
      </c>
    </row>
    <row r="498" spans="2:11" x14ac:dyDescent="0.35">
      <c r="B498" t="s">
        <v>496</v>
      </c>
      <c r="C498">
        <v>20</v>
      </c>
      <c r="D498">
        <v>1</v>
      </c>
      <c r="E498">
        <v>0</v>
      </c>
      <c r="F498">
        <v>0</v>
      </c>
      <c r="G498">
        <v>1</v>
      </c>
      <c r="H498">
        <v>0</v>
      </c>
      <c r="I498">
        <v>11</v>
      </c>
      <c r="J498">
        <v>8</v>
      </c>
      <c r="K498">
        <f t="shared" si="9"/>
        <v>3</v>
      </c>
    </row>
    <row r="499" spans="2:11" x14ac:dyDescent="0.35">
      <c r="B499" t="s">
        <v>497</v>
      </c>
      <c r="C499">
        <v>25</v>
      </c>
      <c r="D499">
        <v>1</v>
      </c>
      <c r="E499">
        <v>0</v>
      </c>
      <c r="F499">
        <v>1</v>
      </c>
      <c r="G499">
        <v>4</v>
      </c>
      <c r="H499">
        <v>1</v>
      </c>
      <c r="I499">
        <v>4</v>
      </c>
      <c r="J499">
        <v>15</v>
      </c>
      <c r="K499">
        <f t="shared" si="9"/>
        <v>5</v>
      </c>
    </row>
    <row r="500" spans="2:11" x14ac:dyDescent="0.35">
      <c r="B500" t="s">
        <v>498</v>
      </c>
      <c r="C500">
        <v>37</v>
      </c>
      <c r="D500">
        <v>5</v>
      </c>
      <c r="E500">
        <v>0</v>
      </c>
      <c r="F500">
        <v>1</v>
      </c>
      <c r="G500">
        <v>6</v>
      </c>
      <c r="H500">
        <v>0</v>
      </c>
      <c r="I500">
        <v>12</v>
      </c>
      <c r="J500">
        <v>14</v>
      </c>
      <c r="K500">
        <f t="shared" si="9"/>
        <v>4</v>
      </c>
    </row>
    <row r="501" spans="2:11" x14ac:dyDescent="0.35">
      <c r="B501" t="s">
        <v>499</v>
      </c>
      <c r="C501">
        <v>32</v>
      </c>
      <c r="D501">
        <v>2</v>
      </c>
      <c r="E501">
        <v>0</v>
      </c>
      <c r="F501">
        <v>1</v>
      </c>
      <c r="G501">
        <v>5</v>
      </c>
      <c r="H501">
        <v>6</v>
      </c>
      <c r="I501">
        <v>10</v>
      </c>
      <c r="J501">
        <v>9</v>
      </c>
      <c r="K501">
        <f t="shared" si="9"/>
        <v>5</v>
      </c>
    </row>
    <row r="502" spans="2:11" x14ac:dyDescent="0.35">
      <c r="B502" t="s">
        <v>500</v>
      </c>
      <c r="C502">
        <v>81</v>
      </c>
      <c r="D502">
        <v>2</v>
      </c>
      <c r="E502">
        <v>0</v>
      </c>
      <c r="F502">
        <v>0</v>
      </c>
      <c r="G502">
        <v>8</v>
      </c>
      <c r="H502">
        <v>2</v>
      </c>
      <c r="I502">
        <v>43</v>
      </c>
      <c r="J502">
        <v>27</v>
      </c>
      <c r="K502">
        <f t="shared" si="9"/>
        <v>4</v>
      </c>
    </row>
    <row r="503" spans="2:11" x14ac:dyDescent="0.35">
      <c r="B503" t="s">
        <v>501</v>
      </c>
      <c r="C503">
        <v>9</v>
      </c>
      <c r="D503">
        <v>0</v>
      </c>
      <c r="E503">
        <v>0</v>
      </c>
      <c r="F503">
        <v>1</v>
      </c>
      <c r="G503">
        <v>0</v>
      </c>
      <c r="H503">
        <v>3</v>
      </c>
      <c r="I503">
        <v>3</v>
      </c>
      <c r="J503">
        <v>3</v>
      </c>
      <c r="K503">
        <f t="shared" si="9"/>
        <v>3</v>
      </c>
    </row>
    <row r="504" spans="2:11" x14ac:dyDescent="0.35">
      <c r="B504" t="s">
        <v>502</v>
      </c>
      <c r="C504">
        <v>3</v>
      </c>
      <c r="D504">
        <v>1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3</v>
      </c>
      <c r="K504">
        <f t="shared" si="9"/>
        <v>1</v>
      </c>
    </row>
    <row r="505" spans="2:11" x14ac:dyDescent="0.35">
      <c r="B505" t="s">
        <v>503</v>
      </c>
      <c r="C505">
        <v>28</v>
      </c>
      <c r="D505">
        <v>5</v>
      </c>
      <c r="E505">
        <v>0</v>
      </c>
      <c r="F505">
        <v>0</v>
      </c>
      <c r="G505">
        <v>0</v>
      </c>
      <c r="H505">
        <v>1</v>
      </c>
      <c r="I505">
        <v>12</v>
      </c>
      <c r="J505">
        <v>11</v>
      </c>
      <c r="K505">
        <f t="shared" si="9"/>
        <v>3</v>
      </c>
    </row>
    <row r="506" spans="2:11" x14ac:dyDescent="0.35">
      <c r="B506" t="s">
        <v>504</v>
      </c>
      <c r="C506">
        <v>103</v>
      </c>
      <c r="D506">
        <v>0</v>
      </c>
      <c r="E506">
        <v>0</v>
      </c>
      <c r="F506">
        <v>0</v>
      </c>
      <c r="G506">
        <v>1</v>
      </c>
      <c r="H506">
        <v>9</v>
      </c>
      <c r="I506">
        <v>48</v>
      </c>
      <c r="J506">
        <v>46</v>
      </c>
      <c r="K506">
        <f t="shared" si="9"/>
        <v>3</v>
      </c>
    </row>
    <row r="507" spans="2:11" x14ac:dyDescent="0.35">
      <c r="B507" t="s">
        <v>505</v>
      </c>
      <c r="C507">
        <v>37</v>
      </c>
      <c r="D507">
        <v>2</v>
      </c>
      <c r="E507">
        <v>0</v>
      </c>
      <c r="F507">
        <v>0</v>
      </c>
      <c r="G507">
        <v>1</v>
      </c>
      <c r="H507">
        <v>11</v>
      </c>
      <c r="I507">
        <v>18</v>
      </c>
      <c r="J507">
        <v>6</v>
      </c>
      <c r="K507">
        <f t="shared" si="9"/>
        <v>4</v>
      </c>
    </row>
    <row r="508" spans="2:11" x14ac:dyDescent="0.35">
      <c r="B508" t="s">
        <v>506</v>
      </c>
      <c r="C508">
        <v>27</v>
      </c>
      <c r="D508">
        <v>4</v>
      </c>
      <c r="E508">
        <v>0</v>
      </c>
      <c r="F508">
        <v>3</v>
      </c>
      <c r="G508">
        <v>1</v>
      </c>
      <c r="H508">
        <v>2</v>
      </c>
      <c r="I508">
        <v>4</v>
      </c>
      <c r="J508">
        <v>14</v>
      </c>
      <c r="K508">
        <f t="shared" si="9"/>
        <v>5</v>
      </c>
    </row>
    <row r="509" spans="2:11" x14ac:dyDescent="0.35">
      <c r="B509" t="s">
        <v>507</v>
      </c>
      <c r="C509">
        <v>62</v>
      </c>
      <c r="D509">
        <v>1</v>
      </c>
      <c r="E509">
        <v>0</v>
      </c>
      <c r="F509">
        <v>0</v>
      </c>
      <c r="G509">
        <v>8</v>
      </c>
      <c r="H509">
        <v>8</v>
      </c>
      <c r="I509">
        <v>28</v>
      </c>
      <c r="J509">
        <v>18</v>
      </c>
      <c r="K509">
        <f t="shared" si="9"/>
        <v>4</v>
      </c>
    </row>
    <row r="510" spans="2:11" x14ac:dyDescent="0.35">
      <c r="B510" t="s">
        <v>508</v>
      </c>
      <c r="C510">
        <v>20</v>
      </c>
      <c r="D510">
        <v>3</v>
      </c>
      <c r="E510">
        <v>0</v>
      </c>
      <c r="F510">
        <v>0</v>
      </c>
      <c r="G510">
        <v>2</v>
      </c>
      <c r="H510">
        <v>1</v>
      </c>
      <c r="I510">
        <v>9</v>
      </c>
      <c r="J510">
        <v>6</v>
      </c>
      <c r="K510">
        <f t="shared" si="9"/>
        <v>4</v>
      </c>
    </row>
    <row r="511" spans="2:11" x14ac:dyDescent="0.35">
      <c r="B511" t="s">
        <v>509</v>
      </c>
      <c r="C511">
        <v>20</v>
      </c>
      <c r="D511">
        <v>0</v>
      </c>
      <c r="E511">
        <v>0</v>
      </c>
      <c r="F511">
        <v>0</v>
      </c>
      <c r="G511">
        <v>3</v>
      </c>
      <c r="H511">
        <v>2</v>
      </c>
      <c r="I511">
        <v>5</v>
      </c>
      <c r="J511">
        <v>11</v>
      </c>
      <c r="K511">
        <f t="shared" si="9"/>
        <v>3</v>
      </c>
    </row>
    <row r="512" spans="2:11" x14ac:dyDescent="0.35">
      <c r="B512" t="s">
        <v>510</v>
      </c>
      <c r="C512">
        <v>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4</v>
      </c>
      <c r="J512">
        <v>1</v>
      </c>
      <c r="K512">
        <f t="shared" si="9"/>
        <v>1</v>
      </c>
    </row>
    <row r="513" spans="2:11" x14ac:dyDescent="0.35">
      <c r="B513" t="s">
        <v>511</v>
      </c>
      <c r="C513">
        <v>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4</v>
      </c>
      <c r="J513">
        <v>1</v>
      </c>
      <c r="K513">
        <f t="shared" si="9"/>
        <v>1</v>
      </c>
    </row>
    <row r="514" spans="2:11" x14ac:dyDescent="0.35">
      <c r="B514" t="s">
        <v>512</v>
      </c>
      <c r="C514">
        <v>28</v>
      </c>
      <c r="D514">
        <v>2</v>
      </c>
      <c r="E514">
        <v>0</v>
      </c>
      <c r="F514">
        <v>1</v>
      </c>
      <c r="G514">
        <v>0</v>
      </c>
      <c r="H514">
        <v>3</v>
      </c>
      <c r="I514">
        <v>11</v>
      </c>
      <c r="J514">
        <v>12</v>
      </c>
      <c r="K514">
        <f t="shared" si="9"/>
        <v>4</v>
      </c>
    </row>
    <row r="515" spans="2:11" x14ac:dyDescent="0.35">
      <c r="B515" t="s">
        <v>513</v>
      </c>
      <c r="C515">
        <v>104</v>
      </c>
      <c r="D515">
        <v>3</v>
      </c>
      <c r="E515">
        <v>1</v>
      </c>
      <c r="F515">
        <v>5</v>
      </c>
      <c r="G515">
        <v>0</v>
      </c>
      <c r="H515">
        <v>3</v>
      </c>
      <c r="I515">
        <v>32</v>
      </c>
      <c r="J515">
        <v>61</v>
      </c>
      <c r="K515">
        <f t="shared" si="9"/>
        <v>5</v>
      </c>
    </row>
    <row r="516" spans="2:11" x14ac:dyDescent="0.35">
      <c r="B516" t="s">
        <v>514</v>
      </c>
      <c r="C516">
        <v>26</v>
      </c>
      <c r="D516">
        <v>1</v>
      </c>
      <c r="E516">
        <v>0</v>
      </c>
      <c r="F516">
        <v>0</v>
      </c>
      <c r="G516">
        <v>4</v>
      </c>
      <c r="H516">
        <v>1</v>
      </c>
      <c r="I516">
        <v>12</v>
      </c>
      <c r="J516">
        <v>9</v>
      </c>
      <c r="K516">
        <f t="shared" si="9"/>
        <v>4</v>
      </c>
    </row>
    <row r="517" spans="2:11" x14ac:dyDescent="0.35">
      <c r="B517" t="s">
        <v>515</v>
      </c>
      <c r="C517">
        <v>20</v>
      </c>
      <c r="D517">
        <v>0</v>
      </c>
      <c r="E517">
        <v>0</v>
      </c>
      <c r="F517">
        <v>0</v>
      </c>
      <c r="G517">
        <v>0</v>
      </c>
      <c r="H517">
        <v>4</v>
      </c>
      <c r="I517">
        <v>3</v>
      </c>
      <c r="J517">
        <v>14</v>
      </c>
      <c r="K517">
        <f t="shared" si="9"/>
        <v>2</v>
      </c>
    </row>
    <row r="518" spans="2:11" x14ac:dyDescent="0.35">
      <c r="B518" t="s">
        <v>516</v>
      </c>
      <c r="C518">
        <v>60</v>
      </c>
      <c r="D518">
        <v>0</v>
      </c>
      <c r="E518">
        <v>0</v>
      </c>
      <c r="F518">
        <v>0</v>
      </c>
      <c r="G518">
        <v>3</v>
      </c>
      <c r="H518">
        <v>5</v>
      </c>
      <c r="I518">
        <v>22</v>
      </c>
      <c r="J518">
        <v>31</v>
      </c>
      <c r="K518">
        <f t="shared" si="9"/>
        <v>3</v>
      </c>
    </row>
    <row r="519" spans="2:11" x14ac:dyDescent="0.35">
      <c r="B519" t="s">
        <v>2302</v>
      </c>
      <c r="C519">
        <v>39</v>
      </c>
      <c r="D519">
        <v>3</v>
      </c>
      <c r="E519">
        <v>0</v>
      </c>
      <c r="F519">
        <v>2</v>
      </c>
      <c r="G519">
        <v>1</v>
      </c>
      <c r="H519">
        <v>2</v>
      </c>
      <c r="I519">
        <v>8</v>
      </c>
      <c r="J519">
        <v>24</v>
      </c>
      <c r="K519">
        <f t="shared" si="9"/>
        <v>5</v>
      </c>
    </row>
    <row r="520" spans="2:11" x14ac:dyDescent="0.35">
      <c r="B520" t="s">
        <v>517</v>
      </c>
      <c r="C520">
        <v>29</v>
      </c>
      <c r="D520">
        <v>0</v>
      </c>
      <c r="E520">
        <v>0</v>
      </c>
      <c r="F520">
        <v>0</v>
      </c>
      <c r="G520">
        <v>4</v>
      </c>
      <c r="H520">
        <v>1</v>
      </c>
      <c r="I520">
        <v>10</v>
      </c>
      <c r="J520">
        <v>15</v>
      </c>
      <c r="K520">
        <f t="shared" si="9"/>
        <v>3</v>
      </c>
    </row>
    <row r="521" spans="2:11" x14ac:dyDescent="0.35">
      <c r="B521" t="s">
        <v>518</v>
      </c>
      <c r="C521">
        <v>30</v>
      </c>
      <c r="D521">
        <v>1</v>
      </c>
      <c r="E521">
        <v>0</v>
      </c>
      <c r="F521">
        <v>0</v>
      </c>
      <c r="G521">
        <v>2</v>
      </c>
      <c r="H521">
        <v>5</v>
      </c>
      <c r="I521">
        <v>12</v>
      </c>
      <c r="J521">
        <v>11</v>
      </c>
      <c r="K521">
        <f t="shared" si="9"/>
        <v>4</v>
      </c>
    </row>
    <row r="522" spans="2:11" x14ac:dyDescent="0.35">
      <c r="B522" t="s">
        <v>519</v>
      </c>
      <c r="C522">
        <v>63</v>
      </c>
      <c r="D522">
        <v>0</v>
      </c>
      <c r="E522">
        <v>1</v>
      </c>
      <c r="F522">
        <v>1</v>
      </c>
      <c r="G522">
        <v>13</v>
      </c>
      <c r="H522">
        <v>8</v>
      </c>
      <c r="I522">
        <v>11</v>
      </c>
      <c r="J522">
        <v>30</v>
      </c>
      <c r="K522">
        <f t="shared" si="9"/>
        <v>5</v>
      </c>
    </row>
    <row r="523" spans="2:11" x14ac:dyDescent="0.35">
      <c r="B523" t="s">
        <v>520</v>
      </c>
      <c r="C523">
        <v>35</v>
      </c>
      <c r="D523">
        <v>5</v>
      </c>
      <c r="E523">
        <v>0</v>
      </c>
      <c r="F523">
        <v>1</v>
      </c>
      <c r="G523">
        <v>6</v>
      </c>
      <c r="H523">
        <v>5</v>
      </c>
      <c r="I523">
        <v>3</v>
      </c>
      <c r="J523">
        <v>16</v>
      </c>
      <c r="K523">
        <f t="shared" si="9"/>
        <v>5</v>
      </c>
    </row>
    <row r="524" spans="2:11" x14ac:dyDescent="0.35">
      <c r="B524" t="s">
        <v>521</v>
      </c>
      <c r="C524">
        <v>32</v>
      </c>
      <c r="D524">
        <v>4</v>
      </c>
      <c r="E524">
        <v>0</v>
      </c>
      <c r="F524">
        <v>0</v>
      </c>
      <c r="G524">
        <v>0</v>
      </c>
      <c r="H524">
        <v>2</v>
      </c>
      <c r="I524">
        <v>4</v>
      </c>
      <c r="J524">
        <v>23</v>
      </c>
      <c r="K524">
        <f t="shared" ref="K524:K587" si="10">COUNTIF(D524:I524, "&gt;0")</f>
        <v>3</v>
      </c>
    </row>
    <row r="525" spans="2:11" x14ac:dyDescent="0.35">
      <c r="B525" t="s">
        <v>522</v>
      </c>
      <c r="C525">
        <v>142</v>
      </c>
      <c r="D525">
        <v>10</v>
      </c>
      <c r="E525">
        <v>1</v>
      </c>
      <c r="F525">
        <v>1</v>
      </c>
      <c r="G525">
        <v>12</v>
      </c>
      <c r="H525">
        <v>22</v>
      </c>
      <c r="I525">
        <v>42</v>
      </c>
      <c r="J525">
        <v>55</v>
      </c>
      <c r="K525">
        <f t="shared" si="10"/>
        <v>6</v>
      </c>
    </row>
    <row r="526" spans="2:11" x14ac:dyDescent="0.35">
      <c r="B526" t="s">
        <v>523</v>
      </c>
      <c r="C526">
        <v>7</v>
      </c>
      <c r="D526">
        <v>1</v>
      </c>
      <c r="E526">
        <v>1</v>
      </c>
      <c r="F526">
        <v>0</v>
      </c>
      <c r="G526">
        <v>0</v>
      </c>
      <c r="H526">
        <v>2</v>
      </c>
      <c r="I526">
        <v>1</v>
      </c>
      <c r="J526">
        <v>3</v>
      </c>
      <c r="K526">
        <f t="shared" si="10"/>
        <v>4</v>
      </c>
    </row>
    <row r="527" spans="2:11" x14ac:dyDescent="0.35">
      <c r="B527" t="s">
        <v>524</v>
      </c>
      <c r="C527">
        <v>16</v>
      </c>
      <c r="D527">
        <v>3</v>
      </c>
      <c r="E527">
        <v>0</v>
      </c>
      <c r="F527">
        <v>0</v>
      </c>
      <c r="G527">
        <v>0</v>
      </c>
      <c r="H527">
        <v>1</v>
      </c>
      <c r="I527">
        <v>6</v>
      </c>
      <c r="J527">
        <v>7</v>
      </c>
      <c r="K527">
        <f t="shared" si="10"/>
        <v>3</v>
      </c>
    </row>
    <row r="528" spans="2:11" x14ac:dyDescent="0.35">
      <c r="B528" t="s">
        <v>525</v>
      </c>
      <c r="C528">
        <v>19</v>
      </c>
      <c r="D528">
        <v>0</v>
      </c>
      <c r="E528">
        <v>0</v>
      </c>
      <c r="F528">
        <v>0</v>
      </c>
      <c r="G528">
        <v>11</v>
      </c>
      <c r="H528">
        <v>0</v>
      </c>
      <c r="I528">
        <v>4</v>
      </c>
      <c r="J528">
        <v>5</v>
      </c>
      <c r="K528">
        <f t="shared" si="10"/>
        <v>2</v>
      </c>
    </row>
    <row r="529" spans="2:11" x14ac:dyDescent="0.35">
      <c r="B529" t="s">
        <v>526</v>
      </c>
      <c r="C529">
        <v>98</v>
      </c>
      <c r="D529">
        <v>3</v>
      </c>
      <c r="E529">
        <v>1</v>
      </c>
      <c r="F529">
        <v>0</v>
      </c>
      <c r="G529">
        <v>6</v>
      </c>
      <c r="H529">
        <v>17</v>
      </c>
      <c r="I529">
        <v>18</v>
      </c>
      <c r="J529">
        <v>54</v>
      </c>
      <c r="K529">
        <f t="shared" si="10"/>
        <v>5</v>
      </c>
    </row>
    <row r="530" spans="2:11" x14ac:dyDescent="0.35">
      <c r="B530" t="s">
        <v>527</v>
      </c>
      <c r="C530">
        <v>26</v>
      </c>
      <c r="D530">
        <v>1</v>
      </c>
      <c r="E530">
        <v>0</v>
      </c>
      <c r="F530">
        <v>0</v>
      </c>
      <c r="G530">
        <v>0</v>
      </c>
      <c r="H530">
        <v>1</v>
      </c>
      <c r="I530">
        <v>4</v>
      </c>
      <c r="J530">
        <v>21</v>
      </c>
      <c r="K530">
        <f t="shared" si="10"/>
        <v>3</v>
      </c>
    </row>
    <row r="531" spans="2:11" x14ac:dyDescent="0.35">
      <c r="B531" t="s">
        <v>528</v>
      </c>
      <c r="C531">
        <v>38</v>
      </c>
      <c r="D531">
        <v>3</v>
      </c>
      <c r="E531">
        <v>0</v>
      </c>
      <c r="F531">
        <v>1</v>
      </c>
      <c r="G531">
        <v>0</v>
      </c>
      <c r="H531">
        <v>2</v>
      </c>
      <c r="I531">
        <v>9</v>
      </c>
      <c r="J531">
        <v>24</v>
      </c>
      <c r="K531">
        <f t="shared" si="10"/>
        <v>4</v>
      </c>
    </row>
    <row r="532" spans="2:11" x14ac:dyDescent="0.35">
      <c r="B532" t="s">
        <v>529</v>
      </c>
      <c r="C532">
        <v>59</v>
      </c>
      <c r="D532">
        <v>1</v>
      </c>
      <c r="E532">
        <v>0</v>
      </c>
      <c r="F532">
        <v>0</v>
      </c>
      <c r="G532">
        <v>0</v>
      </c>
      <c r="H532">
        <v>2</v>
      </c>
      <c r="I532">
        <v>5</v>
      </c>
      <c r="J532">
        <v>52</v>
      </c>
      <c r="K532">
        <f t="shared" si="10"/>
        <v>3</v>
      </c>
    </row>
    <row r="533" spans="2:11" x14ac:dyDescent="0.35">
      <c r="B533" t="s">
        <v>530</v>
      </c>
      <c r="C533">
        <v>116</v>
      </c>
      <c r="D533">
        <v>3</v>
      </c>
      <c r="E533">
        <v>0</v>
      </c>
      <c r="F533">
        <v>1</v>
      </c>
      <c r="G533">
        <v>1</v>
      </c>
      <c r="H533">
        <v>11</v>
      </c>
      <c r="I533">
        <v>57</v>
      </c>
      <c r="J533">
        <v>44</v>
      </c>
      <c r="K533">
        <f t="shared" si="10"/>
        <v>5</v>
      </c>
    </row>
    <row r="534" spans="2:11" x14ac:dyDescent="0.35">
      <c r="B534" t="s">
        <v>531</v>
      </c>
      <c r="C534">
        <v>67</v>
      </c>
      <c r="D534">
        <v>1</v>
      </c>
      <c r="E534">
        <v>1</v>
      </c>
      <c r="F534">
        <v>0</v>
      </c>
      <c r="G534">
        <v>9</v>
      </c>
      <c r="H534">
        <v>21</v>
      </c>
      <c r="I534">
        <v>25</v>
      </c>
      <c r="J534">
        <v>11</v>
      </c>
      <c r="K534">
        <f t="shared" si="10"/>
        <v>5</v>
      </c>
    </row>
    <row r="535" spans="2:11" x14ac:dyDescent="0.35">
      <c r="B535" t="s">
        <v>532</v>
      </c>
      <c r="C535">
        <v>10</v>
      </c>
      <c r="D535">
        <v>0</v>
      </c>
      <c r="E535">
        <v>0</v>
      </c>
      <c r="F535">
        <v>0</v>
      </c>
      <c r="G535">
        <v>0</v>
      </c>
      <c r="H535">
        <v>2</v>
      </c>
      <c r="I535">
        <v>3</v>
      </c>
      <c r="J535">
        <v>6</v>
      </c>
      <c r="K535">
        <f t="shared" si="10"/>
        <v>2</v>
      </c>
    </row>
    <row r="536" spans="2:11" x14ac:dyDescent="0.35">
      <c r="B536" t="s">
        <v>533</v>
      </c>
      <c r="C536">
        <v>29</v>
      </c>
      <c r="D536">
        <v>1</v>
      </c>
      <c r="E536">
        <v>0</v>
      </c>
      <c r="F536">
        <v>0</v>
      </c>
      <c r="G536">
        <v>1</v>
      </c>
      <c r="H536">
        <v>2</v>
      </c>
      <c r="I536">
        <v>21</v>
      </c>
      <c r="J536">
        <v>5</v>
      </c>
      <c r="K536">
        <f t="shared" si="10"/>
        <v>4</v>
      </c>
    </row>
    <row r="537" spans="2:11" x14ac:dyDescent="0.35">
      <c r="B537" t="s">
        <v>534</v>
      </c>
      <c r="C537">
        <v>15</v>
      </c>
      <c r="D537">
        <v>4</v>
      </c>
      <c r="E537">
        <v>0</v>
      </c>
      <c r="F537">
        <v>0</v>
      </c>
      <c r="G537">
        <v>1</v>
      </c>
      <c r="H537">
        <v>1</v>
      </c>
      <c r="I537">
        <v>3</v>
      </c>
      <c r="J537">
        <v>7</v>
      </c>
      <c r="K537">
        <f t="shared" si="10"/>
        <v>4</v>
      </c>
    </row>
    <row r="538" spans="2:11" x14ac:dyDescent="0.35">
      <c r="B538" t="s">
        <v>535</v>
      </c>
      <c r="C538">
        <v>27</v>
      </c>
      <c r="D538">
        <v>1</v>
      </c>
      <c r="E538">
        <v>1</v>
      </c>
      <c r="F538">
        <v>1</v>
      </c>
      <c r="G538">
        <v>0</v>
      </c>
      <c r="H538">
        <v>0</v>
      </c>
      <c r="I538">
        <v>3</v>
      </c>
      <c r="J538">
        <v>22</v>
      </c>
      <c r="K538">
        <f t="shared" si="10"/>
        <v>4</v>
      </c>
    </row>
    <row r="539" spans="2:11" x14ac:dyDescent="0.35">
      <c r="B539" t="s">
        <v>536</v>
      </c>
      <c r="C539">
        <v>14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1</v>
      </c>
      <c r="J539">
        <v>14</v>
      </c>
      <c r="K539">
        <f t="shared" si="10"/>
        <v>1</v>
      </c>
    </row>
    <row r="540" spans="2:11" x14ac:dyDescent="0.35">
      <c r="B540" t="s">
        <v>537</v>
      </c>
      <c r="C540">
        <v>7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1</v>
      </c>
      <c r="J540">
        <v>6</v>
      </c>
      <c r="K540">
        <f t="shared" si="10"/>
        <v>2</v>
      </c>
    </row>
    <row r="541" spans="2:11" x14ac:dyDescent="0.35">
      <c r="B541" t="s">
        <v>538</v>
      </c>
      <c r="C541">
        <v>65</v>
      </c>
      <c r="D541">
        <v>2</v>
      </c>
      <c r="E541">
        <v>0</v>
      </c>
      <c r="F541">
        <v>0</v>
      </c>
      <c r="G541">
        <v>1</v>
      </c>
      <c r="H541">
        <v>4</v>
      </c>
      <c r="I541">
        <v>22</v>
      </c>
      <c r="J541">
        <v>37</v>
      </c>
      <c r="K541">
        <f t="shared" si="10"/>
        <v>4</v>
      </c>
    </row>
    <row r="542" spans="2:11" x14ac:dyDescent="0.35">
      <c r="B542" t="s">
        <v>539</v>
      </c>
      <c r="C542">
        <v>53</v>
      </c>
      <c r="D542">
        <v>0</v>
      </c>
      <c r="E542">
        <v>0</v>
      </c>
      <c r="F542">
        <v>0</v>
      </c>
      <c r="G542">
        <v>1</v>
      </c>
      <c r="H542">
        <v>20</v>
      </c>
      <c r="I542">
        <v>8</v>
      </c>
      <c r="J542">
        <v>25</v>
      </c>
      <c r="K542">
        <f t="shared" si="10"/>
        <v>3</v>
      </c>
    </row>
    <row r="543" spans="2:11" x14ac:dyDescent="0.35">
      <c r="B543" t="s">
        <v>540</v>
      </c>
      <c r="C543">
        <v>32</v>
      </c>
      <c r="D543">
        <v>4</v>
      </c>
      <c r="E543">
        <v>0</v>
      </c>
      <c r="F543">
        <v>0</v>
      </c>
      <c r="G543">
        <v>5</v>
      </c>
      <c r="H543">
        <v>4</v>
      </c>
      <c r="I543">
        <v>9</v>
      </c>
      <c r="J543">
        <v>11</v>
      </c>
      <c r="K543">
        <f t="shared" si="10"/>
        <v>4</v>
      </c>
    </row>
    <row r="544" spans="2:11" x14ac:dyDescent="0.35">
      <c r="B544" t="s">
        <v>541</v>
      </c>
      <c r="C544">
        <v>99</v>
      </c>
      <c r="D544">
        <v>7</v>
      </c>
      <c r="E544">
        <v>0</v>
      </c>
      <c r="F544">
        <v>1</v>
      </c>
      <c r="G544">
        <v>5</v>
      </c>
      <c r="H544">
        <v>10</v>
      </c>
      <c r="I544">
        <v>33</v>
      </c>
      <c r="J544">
        <v>44</v>
      </c>
      <c r="K544">
        <f t="shared" si="10"/>
        <v>5</v>
      </c>
    </row>
    <row r="545" spans="2:11" x14ac:dyDescent="0.35">
      <c r="B545" t="s">
        <v>542</v>
      </c>
      <c r="C545">
        <v>4</v>
      </c>
      <c r="D545">
        <v>0</v>
      </c>
      <c r="E545">
        <v>0</v>
      </c>
      <c r="F545">
        <v>0</v>
      </c>
      <c r="G545">
        <v>0</v>
      </c>
      <c r="H545">
        <v>1</v>
      </c>
      <c r="I545">
        <v>3</v>
      </c>
      <c r="J545">
        <v>1</v>
      </c>
      <c r="K545">
        <f t="shared" si="10"/>
        <v>2</v>
      </c>
    </row>
    <row r="546" spans="2:11" x14ac:dyDescent="0.35">
      <c r="B546" t="s">
        <v>543</v>
      </c>
      <c r="C546">
        <v>20</v>
      </c>
      <c r="D546">
        <v>0</v>
      </c>
      <c r="E546">
        <v>0</v>
      </c>
      <c r="F546">
        <v>0</v>
      </c>
      <c r="G546">
        <v>1</v>
      </c>
      <c r="H546">
        <v>2</v>
      </c>
      <c r="I546">
        <v>4</v>
      </c>
      <c r="J546">
        <v>14</v>
      </c>
      <c r="K546">
        <f t="shared" si="10"/>
        <v>3</v>
      </c>
    </row>
    <row r="547" spans="2:11" x14ac:dyDescent="0.35">
      <c r="B547" t="s">
        <v>544</v>
      </c>
      <c r="C547">
        <v>42</v>
      </c>
      <c r="D547">
        <v>8</v>
      </c>
      <c r="E547">
        <v>1</v>
      </c>
      <c r="F547">
        <v>1</v>
      </c>
      <c r="G547">
        <v>0</v>
      </c>
      <c r="H547">
        <v>8</v>
      </c>
      <c r="I547">
        <v>4</v>
      </c>
      <c r="J547">
        <v>21</v>
      </c>
      <c r="K547">
        <f t="shared" si="10"/>
        <v>5</v>
      </c>
    </row>
    <row r="548" spans="2:11" x14ac:dyDescent="0.35">
      <c r="B548" t="s">
        <v>545</v>
      </c>
      <c r="C548">
        <v>9</v>
      </c>
      <c r="D548">
        <v>0</v>
      </c>
      <c r="E548">
        <v>0</v>
      </c>
      <c r="F548">
        <v>0</v>
      </c>
      <c r="G548">
        <v>0</v>
      </c>
      <c r="H548">
        <v>2</v>
      </c>
      <c r="I548">
        <v>2</v>
      </c>
      <c r="J548">
        <v>6</v>
      </c>
      <c r="K548">
        <f t="shared" si="10"/>
        <v>2</v>
      </c>
    </row>
    <row r="549" spans="2:11" x14ac:dyDescent="0.35">
      <c r="B549" t="s">
        <v>546</v>
      </c>
      <c r="C549">
        <v>172</v>
      </c>
      <c r="D549">
        <v>6</v>
      </c>
      <c r="E549">
        <v>1</v>
      </c>
      <c r="F549">
        <v>1</v>
      </c>
      <c r="G549">
        <v>9</v>
      </c>
      <c r="H549">
        <v>24</v>
      </c>
      <c r="I549">
        <v>31</v>
      </c>
      <c r="J549">
        <v>101</v>
      </c>
      <c r="K549">
        <f t="shared" si="10"/>
        <v>6</v>
      </c>
    </row>
    <row r="550" spans="2:11" x14ac:dyDescent="0.35">
      <c r="B550" t="s">
        <v>547</v>
      </c>
      <c r="C550">
        <v>16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6</v>
      </c>
      <c r="J550">
        <v>11</v>
      </c>
      <c r="K550">
        <f t="shared" si="10"/>
        <v>1</v>
      </c>
    </row>
    <row r="551" spans="2:11" x14ac:dyDescent="0.35">
      <c r="B551" t="s">
        <v>548</v>
      </c>
      <c r="C551">
        <v>21</v>
      </c>
      <c r="D551">
        <v>2</v>
      </c>
      <c r="E551">
        <v>0</v>
      </c>
      <c r="F551">
        <v>0</v>
      </c>
      <c r="G551">
        <v>0</v>
      </c>
      <c r="H551">
        <v>6</v>
      </c>
      <c r="I551">
        <v>6</v>
      </c>
      <c r="J551">
        <v>8</v>
      </c>
      <c r="K551">
        <f t="shared" si="10"/>
        <v>3</v>
      </c>
    </row>
    <row r="552" spans="2:11" x14ac:dyDescent="0.35">
      <c r="B552" t="s">
        <v>549</v>
      </c>
      <c r="C552">
        <v>14</v>
      </c>
      <c r="D552">
        <v>3</v>
      </c>
      <c r="E552">
        <v>0</v>
      </c>
      <c r="F552">
        <v>0</v>
      </c>
      <c r="G552">
        <v>4</v>
      </c>
      <c r="H552">
        <v>1</v>
      </c>
      <c r="I552">
        <v>4</v>
      </c>
      <c r="J552">
        <v>3</v>
      </c>
      <c r="K552">
        <f t="shared" si="10"/>
        <v>4</v>
      </c>
    </row>
    <row r="553" spans="2:11" x14ac:dyDescent="0.35">
      <c r="B553" t="s">
        <v>550</v>
      </c>
      <c r="C553">
        <v>29</v>
      </c>
      <c r="D553">
        <v>1</v>
      </c>
      <c r="E553">
        <v>0</v>
      </c>
      <c r="F553">
        <v>0</v>
      </c>
      <c r="G553">
        <v>0</v>
      </c>
      <c r="H553">
        <v>5</v>
      </c>
      <c r="I553">
        <v>8</v>
      </c>
      <c r="J553">
        <v>16</v>
      </c>
      <c r="K553">
        <f t="shared" si="10"/>
        <v>3</v>
      </c>
    </row>
    <row r="554" spans="2:11" x14ac:dyDescent="0.35">
      <c r="B554" t="s">
        <v>551</v>
      </c>
      <c r="C554">
        <v>17</v>
      </c>
      <c r="D554">
        <v>4</v>
      </c>
      <c r="E554">
        <v>0</v>
      </c>
      <c r="F554">
        <v>0</v>
      </c>
      <c r="G554">
        <v>0</v>
      </c>
      <c r="H554">
        <v>0</v>
      </c>
      <c r="I554">
        <v>2</v>
      </c>
      <c r="J554">
        <v>12</v>
      </c>
      <c r="K554">
        <f t="shared" si="10"/>
        <v>2</v>
      </c>
    </row>
    <row r="555" spans="2:11" x14ac:dyDescent="0.35">
      <c r="B555" t="s">
        <v>552</v>
      </c>
      <c r="C555">
        <v>104</v>
      </c>
      <c r="D555">
        <v>5</v>
      </c>
      <c r="E555">
        <v>0</v>
      </c>
      <c r="F555">
        <v>1</v>
      </c>
      <c r="G555">
        <v>7</v>
      </c>
      <c r="H555">
        <v>35</v>
      </c>
      <c r="I555">
        <v>19</v>
      </c>
      <c r="J555">
        <v>38</v>
      </c>
      <c r="K555">
        <f t="shared" si="10"/>
        <v>5</v>
      </c>
    </row>
    <row r="556" spans="2:11" x14ac:dyDescent="0.35">
      <c r="B556" t="s">
        <v>553</v>
      </c>
      <c r="C556">
        <v>41</v>
      </c>
      <c r="D556">
        <v>5</v>
      </c>
      <c r="E556">
        <v>0</v>
      </c>
      <c r="F556">
        <v>0</v>
      </c>
      <c r="G556">
        <v>7</v>
      </c>
      <c r="H556">
        <v>5</v>
      </c>
      <c r="I556">
        <v>12</v>
      </c>
      <c r="J556">
        <v>13</v>
      </c>
      <c r="K556">
        <f t="shared" si="10"/>
        <v>4</v>
      </c>
    </row>
    <row r="557" spans="2:11" x14ac:dyDescent="0.35">
      <c r="B557" t="s">
        <v>554</v>
      </c>
      <c r="C557">
        <v>13</v>
      </c>
      <c r="D557">
        <v>1</v>
      </c>
      <c r="E557">
        <v>0</v>
      </c>
      <c r="F557">
        <v>0</v>
      </c>
      <c r="G557">
        <v>0</v>
      </c>
      <c r="H557">
        <v>0</v>
      </c>
      <c r="I557">
        <v>5</v>
      </c>
      <c r="J557">
        <v>8</v>
      </c>
      <c r="K557">
        <f t="shared" si="10"/>
        <v>2</v>
      </c>
    </row>
    <row r="558" spans="2:11" x14ac:dyDescent="0.35">
      <c r="B558" t="s">
        <v>555</v>
      </c>
      <c r="C558">
        <v>38</v>
      </c>
      <c r="D558">
        <v>1</v>
      </c>
      <c r="E558">
        <v>0</v>
      </c>
      <c r="F558">
        <v>1</v>
      </c>
      <c r="G558">
        <v>0</v>
      </c>
      <c r="H558">
        <v>0</v>
      </c>
      <c r="I558">
        <v>6</v>
      </c>
      <c r="J558">
        <v>31</v>
      </c>
      <c r="K558">
        <f t="shared" si="10"/>
        <v>3</v>
      </c>
    </row>
    <row r="559" spans="2:11" x14ac:dyDescent="0.35">
      <c r="B559" t="s">
        <v>556</v>
      </c>
      <c r="C559">
        <v>13</v>
      </c>
      <c r="D559">
        <v>0</v>
      </c>
      <c r="E559">
        <v>0</v>
      </c>
      <c r="F559">
        <v>0</v>
      </c>
      <c r="G559">
        <v>1</v>
      </c>
      <c r="H559">
        <v>1</v>
      </c>
      <c r="I559">
        <v>4</v>
      </c>
      <c r="J559">
        <v>8</v>
      </c>
      <c r="K559">
        <f t="shared" si="10"/>
        <v>3</v>
      </c>
    </row>
    <row r="560" spans="2:11" x14ac:dyDescent="0.35">
      <c r="B560" t="s">
        <v>557</v>
      </c>
      <c r="C560">
        <v>33</v>
      </c>
      <c r="D560">
        <v>1</v>
      </c>
      <c r="E560">
        <v>0</v>
      </c>
      <c r="F560">
        <v>0</v>
      </c>
      <c r="G560">
        <v>3</v>
      </c>
      <c r="H560">
        <v>1</v>
      </c>
      <c r="I560">
        <v>9</v>
      </c>
      <c r="J560">
        <v>20</v>
      </c>
      <c r="K560">
        <f t="shared" si="10"/>
        <v>4</v>
      </c>
    </row>
    <row r="561" spans="2:11" x14ac:dyDescent="0.35">
      <c r="B561" t="s">
        <v>558</v>
      </c>
      <c r="C561">
        <v>26</v>
      </c>
      <c r="D561">
        <v>4</v>
      </c>
      <c r="E561">
        <v>0</v>
      </c>
      <c r="F561">
        <v>1</v>
      </c>
      <c r="G561">
        <v>0</v>
      </c>
      <c r="H561">
        <v>1</v>
      </c>
      <c r="I561">
        <v>6</v>
      </c>
      <c r="J561">
        <v>15</v>
      </c>
      <c r="K561">
        <f t="shared" si="10"/>
        <v>4</v>
      </c>
    </row>
    <row r="562" spans="2:11" x14ac:dyDescent="0.35">
      <c r="B562" t="s">
        <v>559</v>
      </c>
      <c r="C562">
        <v>28</v>
      </c>
      <c r="D562">
        <v>1</v>
      </c>
      <c r="E562">
        <v>0</v>
      </c>
      <c r="F562">
        <v>0</v>
      </c>
      <c r="G562">
        <v>2</v>
      </c>
      <c r="H562">
        <v>2</v>
      </c>
      <c r="I562">
        <v>11</v>
      </c>
      <c r="J562">
        <v>13</v>
      </c>
      <c r="K562">
        <f t="shared" si="10"/>
        <v>4</v>
      </c>
    </row>
    <row r="563" spans="2:11" x14ac:dyDescent="0.35">
      <c r="B563" t="s">
        <v>560</v>
      </c>
      <c r="C563">
        <v>21</v>
      </c>
      <c r="D563">
        <v>2</v>
      </c>
      <c r="E563">
        <v>0</v>
      </c>
      <c r="F563">
        <v>0</v>
      </c>
      <c r="G563">
        <v>0</v>
      </c>
      <c r="H563">
        <v>1</v>
      </c>
      <c r="I563">
        <v>9</v>
      </c>
      <c r="J563">
        <v>10</v>
      </c>
      <c r="K563">
        <f t="shared" si="10"/>
        <v>3</v>
      </c>
    </row>
    <row r="564" spans="2:11" x14ac:dyDescent="0.35">
      <c r="B564" t="s">
        <v>561</v>
      </c>
      <c r="C564">
        <v>80</v>
      </c>
      <c r="D564">
        <v>2</v>
      </c>
      <c r="E564">
        <v>0</v>
      </c>
      <c r="F564">
        <v>0</v>
      </c>
      <c r="G564">
        <v>6</v>
      </c>
      <c r="H564">
        <v>22</v>
      </c>
      <c r="I564">
        <v>26</v>
      </c>
      <c r="J564">
        <v>25</v>
      </c>
      <c r="K564">
        <f t="shared" si="10"/>
        <v>4</v>
      </c>
    </row>
    <row r="565" spans="2:11" x14ac:dyDescent="0.35">
      <c r="B565" t="s">
        <v>562</v>
      </c>
      <c r="C565">
        <v>17</v>
      </c>
      <c r="D565">
        <v>2</v>
      </c>
      <c r="E565">
        <v>0</v>
      </c>
      <c r="F565">
        <v>0</v>
      </c>
      <c r="G565">
        <v>0</v>
      </c>
      <c r="H565">
        <v>0</v>
      </c>
      <c r="I565">
        <v>10</v>
      </c>
      <c r="J565">
        <v>6</v>
      </c>
      <c r="K565">
        <f t="shared" si="10"/>
        <v>2</v>
      </c>
    </row>
    <row r="566" spans="2:11" x14ac:dyDescent="0.35">
      <c r="B566" t="s">
        <v>563</v>
      </c>
      <c r="C566">
        <v>80</v>
      </c>
      <c r="D566">
        <v>2</v>
      </c>
      <c r="E566">
        <v>0</v>
      </c>
      <c r="F566">
        <v>0</v>
      </c>
      <c r="G566">
        <v>21</v>
      </c>
      <c r="H566">
        <v>10</v>
      </c>
      <c r="I566">
        <v>16</v>
      </c>
      <c r="J566">
        <v>32</v>
      </c>
      <c r="K566">
        <f t="shared" si="10"/>
        <v>4</v>
      </c>
    </row>
    <row r="567" spans="2:11" x14ac:dyDescent="0.35">
      <c r="B567" t="s">
        <v>564</v>
      </c>
      <c r="C567">
        <v>129</v>
      </c>
      <c r="D567">
        <v>13</v>
      </c>
      <c r="E567">
        <v>2</v>
      </c>
      <c r="F567">
        <v>3</v>
      </c>
      <c r="G567">
        <v>12</v>
      </c>
      <c r="H567">
        <v>8</v>
      </c>
      <c r="I567">
        <v>43</v>
      </c>
      <c r="J567">
        <v>49</v>
      </c>
      <c r="K567">
        <f t="shared" si="10"/>
        <v>6</v>
      </c>
    </row>
    <row r="568" spans="2:11" x14ac:dyDescent="0.35">
      <c r="B568" t="s">
        <v>565</v>
      </c>
      <c r="C568">
        <v>45</v>
      </c>
      <c r="D568">
        <v>2</v>
      </c>
      <c r="E568">
        <v>1</v>
      </c>
      <c r="F568">
        <v>1</v>
      </c>
      <c r="G568">
        <v>0</v>
      </c>
      <c r="H568">
        <v>4</v>
      </c>
      <c r="I568">
        <v>17</v>
      </c>
      <c r="J568">
        <v>21</v>
      </c>
      <c r="K568">
        <f t="shared" si="10"/>
        <v>5</v>
      </c>
    </row>
    <row r="569" spans="2:11" x14ac:dyDescent="0.35">
      <c r="B569" t="s">
        <v>566</v>
      </c>
      <c r="C569">
        <v>6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2</v>
      </c>
      <c r="J569">
        <v>5</v>
      </c>
      <c r="K569">
        <f t="shared" si="10"/>
        <v>1</v>
      </c>
    </row>
    <row r="570" spans="2:11" x14ac:dyDescent="0.35">
      <c r="B570" t="s">
        <v>567</v>
      </c>
      <c r="C570">
        <v>17</v>
      </c>
      <c r="D570">
        <v>2</v>
      </c>
      <c r="E570">
        <v>0</v>
      </c>
      <c r="F570">
        <v>0</v>
      </c>
      <c r="G570">
        <v>0</v>
      </c>
      <c r="H570">
        <v>0</v>
      </c>
      <c r="I570">
        <v>10</v>
      </c>
      <c r="J570">
        <v>6</v>
      </c>
      <c r="K570">
        <f t="shared" si="10"/>
        <v>2</v>
      </c>
    </row>
    <row r="571" spans="2:11" x14ac:dyDescent="0.35">
      <c r="B571" t="s">
        <v>568</v>
      </c>
      <c r="C571">
        <v>21</v>
      </c>
      <c r="D571">
        <v>2</v>
      </c>
      <c r="E571">
        <v>0</v>
      </c>
      <c r="F571">
        <v>0</v>
      </c>
      <c r="G571">
        <v>0</v>
      </c>
      <c r="H571">
        <v>2</v>
      </c>
      <c r="I571">
        <v>11</v>
      </c>
      <c r="J571">
        <v>7</v>
      </c>
      <c r="K571">
        <f t="shared" si="10"/>
        <v>3</v>
      </c>
    </row>
    <row r="572" spans="2:11" x14ac:dyDescent="0.35">
      <c r="B572" t="s">
        <v>569</v>
      </c>
      <c r="C572">
        <v>17</v>
      </c>
      <c r="D572">
        <v>2</v>
      </c>
      <c r="E572">
        <v>0</v>
      </c>
      <c r="F572">
        <v>0</v>
      </c>
      <c r="G572">
        <v>0</v>
      </c>
      <c r="H572">
        <v>0</v>
      </c>
      <c r="I572">
        <v>10</v>
      </c>
      <c r="J572">
        <v>6</v>
      </c>
      <c r="K572">
        <f t="shared" si="10"/>
        <v>2</v>
      </c>
    </row>
    <row r="573" spans="2:11" x14ac:dyDescent="0.35">
      <c r="B573" t="s">
        <v>570</v>
      </c>
      <c r="C573">
        <v>26</v>
      </c>
      <c r="D573">
        <v>2</v>
      </c>
      <c r="E573">
        <v>0</v>
      </c>
      <c r="F573">
        <v>0</v>
      </c>
      <c r="G573">
        <v>2</v>
      </c>
      <c r="H573">
        <v>2</v>
      </c>
      <c r="I573">
        <v>14</v>
      </c>
      <c r="J573">
        <v>7</v>
      </c>
      <c r="K573">
        <f t="shared" si="10"/>
        <v>4</v>
      </c>
    </row>
    <row r="574" spans="2:11" x14ac:dyDescent="0.35">
      <c r="B574" t="s">
        <v>571</v>
      </c>
      <c r="C574">
        <v>34</v>
      </c>
      <c r="D574">
        <v>2</v>
      </c>
      <c r="E574">
        <v>0</v>
      </c>
      <c r="F574">
        <v>0</v>
      </c>
      <c r="G574">
        <v>0</v>
      </c>
      <c r="H574">
        <v>9</v>
      </c>
      <c r="I574">
        <v>10</v>
      </c>
      <c r="J574">
        <v>14</v>
      </c>
      <c r="K574">
        <f t="shared" si="10"/>
        <v>3</v>
      </c>
    </row>
    <row r="575" spans="2:11" x14ac:dyDescent="0.35">
      <c r="B575" t="s">
        <v>572</v>
      </c>
      <c r="C575">
        <v>18</v>
      </c>
      <c r="D575">
        <v>1</v>
      </c>
      <c r="E575">
        <v>0</v>
      </c>
      <c r="F575">
        <v>0</v>
      </c>
      <c r="G575">
        <v>0</v>
      </c>
      <c r="H575">
        <v>0</v>
      </c>
      <c r="I575">
        <v>10</v>
      </c>
      <c r="J575">
        <v>8</v>
      </c>
      <c r="K575">
        <f t="shared" si="10"/>
        <v>2</v>
      </c>
    </row>
    <row r="576" spans="2:11" x14ac:dyDescent="0.35">
      <c r="B576" t="s">
        <v>573</v>
      </c>
      <c r="C576">
        <v>39</v>
      </c>
      <c r="D576">
        <v>5</v>
      </c>
      <c r="E576">
        <v>0</v>
      </c>
      <c r="F576">
        <v>0</v>
      </c>
      <c r="G576">
        <v>2</v>
      </c>
      <c r="H576">
        <v>5</v>
      </c>
      <c r="I576">
        <v>16</v>
      </c>
      <c r="J576">
        <v>12</v>
      </c>
      <c r="K576">
        <f t="shared" si="10"/>
        <v>4</v>
      </c>
    </row>
    <row r="577" spans="2:11" x14ac:dyDescent="0.35">
      <c r="B577" t="s">
        <v>574</v>
      </c>
      <c r="C577">
        <v>32</v>
      </c>
      <c r="D577">
        <v>1</v>
      </c>
      <c r="E577">
        <v>0</v>
      </c>
      <c r="F577">
        <v>1</v>
      </c>
      <c r="G577">
        <v>0</v>
      </c>
      <c r="H577">
        <v>4</v>
      </c>
      <c r="I577">
        <v>15</v>
      </c>
      <c r="J577">
        <v>12</v>
      </c>
      <c r="K577">
        <f t="shared" si="10"/>
        <v>4</v>
      </c>
    </row>
    <row r="578" spans="2:11" x14ac:dyDescent="0.35">
      <c r="B578" t="s">
        <v>2303</v>
      </c>
      <c r="C578">
        <v>14</v>
      </c>
      <c r="D578">
        <v>2</v>
      </c>
      <c r="E578">
        <v>1</v>
      </c>
      <c r="F578">
        <v>0</v>
      </c>
      <c r="G578">
        <v>0</v>
      </c>
      <c r="H578">
        <v>0</v>
      </c>
      <c r="I578">
        <v>6</v>
      </c>
      <c r="J578">
        <v>6</v>
      </c>
      <c r="K578">
        <f t="shared" si="10"/>
        <v>3</v>
      </c>
    </row>
    <row r="579" spans="2:11" x14ac:dyDescent="0.35">
      <c r="B579" t="s">
        <v>575</v>
      </c>
      <c r="C579">
        <v>102</v>
      </c>
      <c r="D579">
        <v>9</v>
      </c>
      <c r="E579">
        <v>0</v>
      </c>
      <c r="F579">
        <v>2</v>
      </c>
      <c r="G579">
        <v>20</v>
      </c>
      <c r="H579">
        <v>17</v>
      </c>
      <c r="I579">
        <v>31</v>
      </c>
      <c r="J579">
        <v>24</v>
      </c>
      <c r="K579">
        <f t="shared" si="10"/>
        <v>5</v>
      </c>
    </row>
    <row r="580" spans="2:11" x14ac:dyDescent="0.35">
      <c r="B580" t="s">
        <v>576</v>
      </c>
      <c r="C580">
        <v>40</v>
      </c>
      <c r="D580">
        <v>2</v>
      </c>
      <c r="E580">
        <v>0</v>
      </c>
      <c r="F580">
        <v>0</v>
      </c>
      <c r="G580">
        <v>7</v>
      </c>
      <c r="H580">
        <v>4</v>
      </c>
      <c r="I580">
        <v>14</v>
      </c>
      <c r="J580">
        <v>14</v>
      </c>
      <c r="K580">
        <f t="shared" si="10"/>
        <v>4</v>
      </c>
    </row>
    <row r="581" spans="2:11" x14ac:dyDescent="0.35">
      <c r="B581" t="s">
        <v>577</v>
      </c>
      <c r="C581">
        <v>17</v>
      </c>
      <c r="D581">
        <v>2</v>
      </c>
      <c r="E581">
        <v>0</v>
      </c>
      <c r="F581">
        <v>0</v>
      </c>
      <c r="G581">
        <v>0</v>
      </c>
      <c r="H581">
        <v>0</v>
      </c>
      <c r="I581">
        <v>10</v>
      </c>
      <c r="J581">
        <v>6</v>
      </c>
      <c r="K581">
        <f t="shared" si="10"/>
        <v>2</v>
      </c>
    </row>
    <row r="582" spans="2:11" x14ac:dyDescent="0.35">
      <c r="B582" t="s">
        <v>578</v>
      </c>
      <c r="C582">
        <v>55</v>
      </c>
      <c r="D582">
        <v>1</v>
      </c>
      <c r="E582">
        <v>0</v>
      </c>
      <c r="F582">
        <v>0</v>
      </c>
      <c r="G582">
        <v>0</v>
      </c>
      <c r="H582">
        <v>5</v>
      </c>
      <c r="I582">
        <v>13</v>
      </c>
      <c r="J582">
        <v>37</v>
      </c>
      <c r="K582">
        <f t="shared" si="10"/>
        <v>3</v>
      </c>
    </row>
    <row r="583" spans="2:11" x14ac:dyDescent="0.35">
      <c r="B583" t="s">
        <v>579</v>
      </c>
      <c r="C583">
        <v>27</v>
      </c>
      <c r="D583">
        <v>2</v>
      </c>
      <c r="E583">
        <v>0</v>
      </c>
      <c r="F583">
        <v>0</v>
      </c>
      <c r="G583">
        <v>1</v>
      </c>
      <c r="H583">
        <v>5</v>
      </c>
      <c r="I583">
        <v>11</v>
      </c>
      <c r="J583">
        <v>9</v>
      </c>
      <c r="K583">
        <f t="shared" si="10"/>
        <v>4</v>
      </c>
    </row>
    <row r="584" spans="2:11" x14ac:dyDescent="0.35">
      <c r="B584" t="s">
        <v>580</v>
      </c>
      <c r="C584">
        <v>64</v>
      </c>
      <c r="D584">
        <v>8</v>
      </c>
      <c r="E584">
        <v>1</v>
      </c>
      <c r="F584">
        <v>1</v>
      </c>
      <c r="G584">
        <v>1</v>
      </c>
      <c r="H584">
        <v>5</v>
      </c>
      <c r="I584">
        <v>15</v>
      </c>
      <c r="J584">
        <v>34</v>
      </c>
      <c r="K584">
        <f t="shared" si="10"/>
        <v>6</v>
      </c>
    </row>
    <row r="585" spans="2:11" x14ac:dyDescent="0.35">
      <c r="B585" t="s">
        <v>581</v>
      </c>
      <c r="C585">
        <v>25</v>
      </c>
      <c r="D585">
        <v>1</v>
      </c>
      <c r="E585">
        <v>0</v>
      </c>
      <c r="F585">
        <v>0</v>
      </c>
      <c r="G585">
        <v>0</v>
      </c>
      <c r="H585">
        <v>5</v>
      </c>
      <c r="I585">
        <v>11</v>
      </c>
      <c r="J585">
        <v>9</v>
      </c>
      <c r="K585">
        <f t="shared" si="10"/>
        <v>3</v>
      </c>
    </row>
    <row r="586" spans="2:11" x14ac:dyDescent="0.35">
      <c r="B586" t="s">
        <v>582</v>
      </c>
      <c r="C586">
        <v>6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4</v>
      </c>
      <c r="J586">
        <v>3</v>
      </c>
      <c r="K586">
        <f t="shared" si="10"/>
        <v>1</v>
      </c>
    </row>
    <row r="587" spans="2:11" x14ac:dyDescent="0.35">
      <c r="B587" t="s">
        <v>583</v>
      </c>
      <c r="C587">
        <v>26</v>
      </c>
      <c r="D587">
        <v>2</v>
      </c>
      <c r="E587">
        <v>0</v>
      </c>
      <c r="F587">
        <v>0</v>
      </c>
      <c r="G587">
        <v>3</v>
      </c>
      <c r="H587">
        <v>4</v>
      </c>
      <c r="I587">
        <v>11</v>
      </c>
      <c r="J587">
        <v>7</v>
      </c>
      <c r="K587">
        <f t="shared" si="10"/>
        <v>4</v>
      </c>
    </row>
    <row r="588" spans="2:11" x14ac:dyDescent="0.35">
      <c r="B588" t="s">
        <v>584</v>
      </c>
      <c r="C588">
        <v>26</v>
      </c>
      <c r="D588">
        <v>2</v>
      </c>
      <c r="E588">
        <v>0</v>
      </c>
      <c r="F588">
        <v>0</v>
      </c>
      <c r="G588">
        <v>0</v>
      </c>
      <c r="H588">
        <v>7</v>
      </c>
      <c r="I588">
        <v>10</v>
      </c>
      <c r="J588">
        <v>8</v>
      </c>
      <c r="K588">
        <f t="shared" ref="K588:K651" si="11">COUNTIF(D588:I588, "&gt;0")</f>
        <v>3</v>
      </c>
    </row>
    <row r="589" spans="2:11" x14ac:dyDescent="0.35">
      <c r="B589" t="s">
        <v>585</v>
      </c>
      <c r="C589">
        <v>23</v>
      </c>
      <c r="D589">
        <v>2</v>
      </c>
      <c r="E589">
        <v>0</v>
      </c>
      <c r="F589">
        <v>0</v>
      </c>
      <c r="G589">
        <v>0</v>
      </c>
      <c r="H589">
        <v>4</v>
      </c>
      <c r="I589">
        <v>11</v>
      </c>
      <c r="J589">
        <v>7</v>
      </c>
      <c r="K589">
        <f t="shared" si="11"/>
        <v>3</v>
      </c>
    </row>
    <row r="590" spans="2:11" x14ac:dyDescent="0.35">
      <c r="B590" t="s">
        <v>586</v>
      </c>
      <c r="C590">
        <v>21</v>
      </c>
      <c r="D590">
        <v>2</v>
      </c>
      <c r="E590">
        <v>0</v>
      </c>
      <c r="F590">
        <v>0</v>
      </c>
      <c r="G590">
        <v>1</v>
      </c>
      <c r="H590">
        <v>1</v>
      </c>
      <c r="I590">
        <v>11</v>
      </c>
      <c r="J590">
        <v>7</v>
      </c>
      <c r="K590">
        <f t="shared" si="11"/>
        <v>4</v>
      </c>
    </row>
    <row r="591" spans="2:11" x14ac:dyDescent="0.35">
      <c r="B591" t="s">
        <v>587</v>
      </c>
      <c r="C591">
        <v>43</v>
      </c>
      <c r="D591">
        <v>2</v>
      </c>
      <c r="E591">
        <v>0</v>
      </c>
      <c r="F591">
        <v>1</v>
      </c>
      <c r="G591">
        <v>4</v>
      </c>
      <c r="H591">
        <v>8</v>
      </c>
      <c r="I591">
        <v>12</v>
      </c>
      <c r="J591">
        <v>17</v>
      </c>
      <c r="K591">
        <f t="shared" si="11"/>
        <v>5</v>
      </c>
    </row>
    <row r="592" spans="2:11" x14ac:dyDescent="0.35">
      <c r="B592" t="s">
        <v>588</v>
      </c>
      <c r="C592">
        <v>19</v>
      </c>
      <c r="D592">
        <v>2</v>
      </c>
      <c r="E592">
        <v>0</v>
      </c>
      <c r="F592">
        <v>1</v>
      </c>
      <c r="G592">
        <v>0</v>
      </c>
      <c r="H592">
        <v>0</v>
      </c>
      <c r="I592">
        <v>10</v>
      </c>
      <c r="J592">
        <v>7</v>
      </c>
      <c r="K592">
        <f t="shared" si="11"/>
        <v>3</v>
      </c>
    </row>
    <row r="593" spans="2:11" x14ac:dyDescent="0.35">
      <c r="B593" t="s">
        <v>589</v>
      </c>
      <c r="C593">
        <v>167</v>
      </c>
      <c r="D593">
        <v>18</v>
      </c>
      <c r="E593">
        <v>0</v>
      </c>
      <c r="F593">
        <v>1</v>
      </c>
      <c r="G593">
        <v>12</v>
      </c>
      <c r="H593">
        <v>27</v>
      </c>
      <c r="I593">
        <v>55</v>
      </c>
      <c r="J593">
        <v>55</v>
      </c>
      <c r="K593">
        <f t="shared" si="11"/>
        <v>5</v>
      </c>
    </row>
    <row r="594" spans="2:11" x14ac:dyDescent="0.35">
      <c r="B594" t="s">
        <v>590</v>
      </c>
      <c r="C594">
        <v>25</v>
      </c>
      <c r="D594">
        <v>2</v>
      </c>
      <c r="E594">
        <v>0</v>
      </c>
      <c r="F594">
        <v>0</v>
      </c>
      <c r="G594">
        <v>0</v>
      </c>
      <c r="H594">
        <v>4</v>
      </c>
      <c r="I594">
        <v>10</v>
      </c>
      <c r="J594">
        <v>10</v>
      </c>
      <c r="K594">
        <f t="shared" si="11"/>
        <v>3</v>
      </c>
    </row>
    <row r="595" spans="2:11" x14ac:dyDescent="0.35">
      <c r="B595" t="s">
        <v>591</v>
      </c>
      <c r="C595">
        <v>24</v>
      </c>
      <c r="D595">
        <v>2</v>
      </c>
      <c r="E595">
        <v>0</v>
      </c>
      <c r="F595">
        <v>0</v>
      </c>
      <c r="G595">
        <v>0</v>
      </c>
      <c r="H595">
        <v>7</v>
      </c>
      <c r="I595">
        <v>8</v>
      </c>
      <c r="J595">
        <v>8</v>
      </c>
      <c r="K595">
        <f t="shared" si="11"/>
        <v>3</v>
      </c>
    </row>
    <row r="596" spans="2:11" x14ac:dyDescent="0.35">
      <c r="B596" t="s">
        <v>592</v>
      </c>
      <c r="C596">
        <v>23</v>
      </c>
      <c r="D596">
        <v>1</v>
      </c>
      <c r="E596">
        <v>0</v>
      </c>
      <c r="F596">
        <v>0</v>
      </c>
      <c r="G596">
        <v>0</v>
      </c>
      <c r="H596">
        <v>4</v>
      </c>
      <c r="I596">
        <v>11</v>
      </c>
      <c r="J596">
        <v>8</v>
      </c>
      <c r="K596">
        <f t="shared" si="11"/>
        <v>3</v>
      </c>
    </row>
    <row r="597" spans="2:11" x14ac:dyDescent="0.35">
      <c r="B597" t="s">
        <v>593</v>
      </c>
      <c r="C597">
        <v>23</v>
      </c>
      <c r="D597">
        <v>1</v>
      </c>
      <c r="E597">
        <v>0</v>
      </c>
      <c r="F597">
        <v>0</v>
      </c>
      <c r="G597">
        <v>0</v>
      </c>
      <c r="H597">
        <v>4</v>
      </c>
      <c r="I597">
        <v>11</v>
      </c>
      <c r="J597">
        <v>8</v>
      </c>
      <c r="K597">
        <f t="shared" si="11"/>
        <v>3</v>
      </c>
    </row>
    <row r="598" spans="2:11" x14ac:dyDescent="0.35">
      <c r="B598" t="s">
        <v>594</v>
      </c>
      <c r="C598">
        <v>19</v>
      </c>
      <c r="D598">
        <v>2</v>
      </c>
      <c r="E598">
        <v>0</v>
      </c>
      <c r="F598">
        <v>0</v>
      </c>
      <c r="G598">
        <v>0</v>
      </c>
      <c r="H598">
        <v>0</v>
      </c>
      <c r="I598">
        <v>10</v>
      </c>
      <c r="J598">
        <v>8</v>
      </c>
      <c r="K598">
        <f t="shared" si="11"/>
        <v>2</v>
      </c>
    </row>
    <row r="599" spans="2:11" x14ac:dyDescent="0.35">
      <c r="B599" t="s">
        <v>595</v>
      </c>
      <c r="C599">
        <v>26</v>
      </c>
      <c r="D599">
        <v>2</v>
      </c>
      <c r="E599">
        <v>0</v>
      </c>
      <c r="F599">
        <v>0</v>
      </c>
      <c r="G599">
        <v>0</v>
      </c>
      <c r="H599">
        <v>7</v>
      </c>
      <c r="I599">
        <v>10</v>
      </c>
      <c r="J599">
        <v>8</v>
      </c>
      <c r="K599">
        <f t="shared" si="11"/>
        <v>3</v>
      </c>
    </row>
    <row r="600" spans="2:11" x14ac:dyDescent="0.35">
      <c r="B600" t="s">
        <v>596</v>
      </c>
      <c r="C600">
        <v>6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6</v>
      </c>
      <c r="J600">
        <v>1</v>
      </c>
      <c r="K600">
        <f t="shared" si="11"/>
        <v>1</v>
      </c>
    </row>
    <row r="601" spans="2:11" x14ac:dyDescent="0.35">
      <c r="B601" t="s">
        <v>597</v>
      </c>
      <c r="C601">
        <v>26</v>
      </c>
      <c r="D601">
        <v>2</v>
      </c>
      <c r="E601">
        <v>0</v>
      </c>
      <c r="F601">
        <v>0</v>
      </c>
      <c r="G601">
        <v>0</v>
      </c>
      <c r="H601">
        <v>7</v>
      </c>
      <c r="I601">
        <v>10</v>
      </c>
      <c r="J601">
        <v>8</v>
      </c>
      <c r="K601">
        <f t="shared" si="11"/>
        <v>3</v>
      </c>
    </row>
    <row r="602" spans="2:11" x14ac:dyDescent="0.35">
      <c r="B602" t="s">
        <v>598</v>
      </c>
      <c r="C602">
        <v>23</v>
      </c>
      <c r="D602">
        <v>2</v>
      </c>
      <c r="E602">
        <v>0</v>
      </c>
      <c r="F602">
        <v>1</v>
      </c>
      <c r="G602">
        <v>0</v>
      </c>
      <c r="H602">
        <v>1</v>
      </c>
      <c r="I602">
        <v>12</v>
      </c>
      <c r="J602">
        <v>8</v>
      </c>
      <c r="K602">
        <f t="shared" si="11"/>
        <v>4</v>
      </c>
    </row>
    <row r="603" spans="2:11" x14ac:dyDescent="0.35">
      <c r="B603" t="s">
        <v>599</v>
      </c>
      <c r="C603">
        <v>35</v>
      </c>
      <c r="D603">
        <v>1</v>
      </c>
      <c r="E603">
        <v>1</v>
      </c>
      <c r="F603">
        <v>0</v>
      </c>
      <c r="G603">
        <v>5</v>
      </c>
      <c r="H603">
        <v>3</v>
      </c>
      <c r="I603">
        <v>17</v>
      </c>
      <c r="J603">
        <v>9</v>
      </c>
      <c r="K603">
        <f t="shared" si="11"/>
        <v>5</v>
      </c>
    </row>
    <row r="604" spans="2:11" x14ac:dyDescent="0.35">
      <c r="B604" t="s">
        <v>600</v>
      </c>
      <c r="C604">
        <v>19</v>
      </c>
      <c r="D604">
        <v>2</v>
      </c>
      <c r="E604">
        <v>0</v>
      </c>
      <c r="F604">
        <v>0</v>
      </c>
      <c r="G604">
        <v>0</v>
      </c>
      <c r="H604">
        <v>2</v>
      </c>
      <c r="I604">
        <v>10</v>
      </c>
      <c r="J604">
        <v>6</v>
      </c>
      <c r="K604">
        <f t="shared" si="11"/>
        <v>3</v>
      </c>
    </row>
    <row r="605" spans="2:11" x14ac:dyDescent="0.35">
      <c r="B605" t="s">
        <v>601</v>
      </c>
      <c r="C605">
        <v>21</v>
      </c>
      <c r="D605">
        <v>2</v>
      </c>
      <c r="E605">
        <v>0</v>
      </c>
      <c r="F605">
        <v>0</v>
      </c>
      <c r="G605">
        <v>1</v>
      </c>
      <c r="H605">
        <v>2</v>
      </c>
      <c r="I605">
        <v>10</v>
      </c>
      <c r="J605">
        <v>7</v>
      </c>
      <c r="K605">
        <f t="shared" si="11"/>
        <v>4</v>
      </c>
    </row>
    <row r="606" spans="2:11" x14ac:dyDescent="0.35">
      <c r="B606" t="s">
        <v>602</v>
      </c>
      <c r="C606">
        <v>21</v>
      </c>
      <c r="D606">
        <v>1</v>
      </c>
      <c r="E606">
        <v>0</v>
      </c>
      <c r="F606">
        <v>0</v>
      </c>
      <c r="G606">
        <v>0</v>
      </c>
      <c r="H606">
        <v>2</v>
      </c>
      <c r="I606">
        <v>11</v>
      </c>
      <c r="J606">
        <v>8</v>
      </c>
      <c r="K606">
        <f t="shared" si="11"/>
        <v>3</v>
      </c>
    </row>
    <row r="607" spans="2:11" x14ac:dyDescent="0.35">
      <c r="B607" t="s">
        <v>603</v>
      </c>
      <c r="C607">
        <v>23</v>
      </c>
      <c r="D607">
        <v>2</v>
      </c>
      <c r="E607">
        <v>0</v>
      </c>
      <c r="F607">
        <v>0</v>
      </c>
      <c r="G607">
        <v>0</v>
      </c>
      <c r="H607">
        <v>4</v>
      </c>
      <c r="I607">
        <v>11</v>
      </c>
      <c r="J607">
        <v>7</v>
      </c>
      <c r="K607">
        <f t="shared" si="11"/>
        <v>3</v>
      </c>
    </row>
    <row r="608" spans="2:11" x14ac:dyDescent="0.35">
      <c r="B608" t="s">
        <v>604</v>
      </c>
      <c r="C608">
        <v>16</v>
      </c>
      <c r="D608">
        <v>1</v>
      </c>
      <c r="E608">
        <v>0</v>
      </c>
      <c r="F608">
        <v>0</v>
      </c>
      <c r="G608">
        <v>0</v>
      </c>
      <c r="H608">
        <v>2</v>
      </c>
      <c r="I608">
        <v>9</v>
      </c>
      <c r="J608">
        <v>5</v>
      </c>
      <c r="K608">
        <f t="shared" si="11"/>
        <v>3</v>
      </c>
    </row>
    <row r="609" spans="2:11" x14ac:dyDescent="0.35">
      <c r="B609" t="s">
        <v>605</v>
      </c>
      <c r="C609">
        <v>24</v>
      </c>
      <c r="D609">
        <v>3</v>
      </c>
      <c r="E609">
        <v>0</v>
      </c>
      <c r="F609">
        <v>0</v>
      </c>
      <c r="G609">
        <v>0</v>
      </c>
      <c r="H609">
        <v>3</v>
      </c>
      <c r="I609">
        <v>12</v>
      </c>
      <c r="J609">
        <v>7</v>
      </c>
      <c r="K609">
        <f t="shared" si="11"/>
        <v>3</v>
      </c>
    </row>
    <row r="610" spans="2:11" x14ac:dyDescent="0.35">
      <c r="B610" t="s">
        <v>606</v>
      </c>
      <c r="C610">
        <v>22</v>
      </c>
      <c r="D610">
        <v>2</v>
      </c>
      <c r="E610">
        <v>0</v>
      </c>
      <c r="F610">
        <v>0</v>
      </c>
      <c r="G610">
        <v>0</v>
      </c>
      <c r="H610">
        <v>4</v>
      </c>
      <c r="I610">
        <v>11</v>
      </c>
      <c r="J610">
        <v>6</v>
      </c>
      <c r="K610">
        <f t="shared" si="11"/>
        <v>3</v>
      </c>
    </row>
    <row r="611" spans="2:11" x14ac:dyDescent="0.35">
      <c r="B611" t="s">
        <v>607</v>
      </c>
      <c r="C611">
        <v>20</v>
      </c>
      <c r="D611">
        <v>0</v>
      </c>
      <c r="E611">
        <v>0</v>
      </c>
      <c r="F611">
        <v>0</v>
      </c>
      <c r="G611">
        <v>0</v>
      </c>
      <c r="H611">
        <v>3</v>
      </c>
      <c r="I611">
        <v>11</v>
      </c>
      <c r="J611">
        <v>7</v>
      </c>
      <c r="K611">
        <f t="shared" si="11"/>
        <v>2</v>
      </c>
    </row>
    <row r="612" spans="2:11" x14ac:dyDescent="0.35">
      <c r="B612" t="s">
        <v>608</v>
      </c>
      <c r="C612">
        <v>26</v>
      </c>
      <c r="D612">
        <v>2</v>
      </c>
      <c r="E612">
        <v>0</v>
      </c>
      <c r="F612">
        <v>0</v>
      </c>
      <c r="G612">
        <v>2</v>
      </c>
      <c r="H612">
        <v>4</v>
      </c>
      <c r="I612">
        <v>9</v>
      </c>
      <c r="J612">
        <v>10</v>
      </c>
      <c r="K612">
        <f t="shared" si="11"/>
        <v>4</v>
      </c>
    </row>
    <row r="613" spans="2:11" x14ac:dyDescent="0.35">
      <c r="B613" t="s">
        <v>609</v>
      </c>
      <c r="C613">
        <v>16</v>
      </c>
      <c r="D613">
        <v>1</v>
      </c>
      <c r="E613">
        <v>0</v>
      </c>
      <c r="F613">
        <v>0</v>
      </c>
      <c r="G613">
        <v>0</v>
      </c>
      <c r="H613">
        <v>2</v>
      </c>
      <c r="I613">
        <v>8</v>
      </c>
      <c r="J613">
        <v>6</v>
      </c>
      <c r="K613">
        <f t="shared" si="11"/>
        <v>3</v>
      </c>
    </row>
    <row r="614" spans="2:11" x14ac:dyDescent="0.35">
      <c r="B614" t="s">
        <v>610</v>
      </c>
      <c r="C614">
        <v>16</v>
      </c>
      <c r="D614">
        <v>2</v>
      </c>
      <c r="E614">
        <v>0</v>
      </c>
      <c r="F614">
        <v>0</v>
      </c>
      <c r="G614">
        <v>0</v>
      </c>
      <c r="H614">
        <v>0</v>
      </c>
      <c r="I614">
        <v>10</v>
      </c>
      <c r="J614">
        <v>5</v>
      </c>
      <c r="K614">
        <f t="shared" si="11"/>
        <v>2</v>
      </c>
    </row>
    <row r="615" spans="2:11" x14ac:dyDescent="0.35">
      <c r="B615" t="s">
        <v>611</v>
      </c>
      <c r="C615">
        <v>31</v>
      </c>
      <c r="D615">
        <v>2</v>
      </c>
      <c r="E615">
        <v>0</v>
      </c>
      <c r="F615">
        <v>0</v>
      </c>
      <c r="G615">
        <v>1</v>
      </c>
      <c r="H615">
        <v>9</v>
      </c>
      <c r="I615">
        <v>12</v>
      </c>
      <c r="J615">
        <v>8</v>
      </c>
      <c r="K615">
        <f t="shared" si="11"/>
        <v>4</v>
      </c>
    </row>
    <row r="616" spans="2:11" x14ac:dyDescent="0.35">
      <c r="B616" t="s">
        <v>612</v>
      </c>
      <c r="C616">
        <v>24</v>
      </c>
      <c r="D616">
        <v>3</v>
      </c>
      <c r="E616">
        <v>0</v>
      </c>
      <c r="F616">
        <v>0</v>
      </c>
      <c r="G616">
        <v>0</v>
      </c>
      <c r="H616">
        <v>3</v>
      </c>
      <c r="I616">
        <v>12</v>
      </c>
      <c r="J616">
        <v>7</v>
      </c>
      <c r="K616">
        <f t="shared" si="11"/>
        <v>3</v>
      </c>
    </row>
    <row r="617" spans="2:11" x14ac:dyDescent="0.35">
      <c r="B617" t="s">
        <v>613</v>
      </c>
      <c r="C617">
        <v>22</v>
      </c>
      <c r="D617">
        <v>1</v>
      </c>
      <c r="E617">
        <v>0</v>
      </c>
      <c r="F617">
        <v>0</v>
      </c>
      <c r="G617">
        <v>0</v>
      </c>
      <c r="H617">
        <v>0</v>
      </c>
      <c r="I617">
        <v>13</v>
      </c>
      <c r="J617">
        <v>9</v>
      </c>
      <c r="K617">
        <f t="shared" si="11"/>
        <v>2</v>
      </c>
    </row>
    <row r="618" spans="2:11" x14ac:dyDescent="0.35">
      <c r="B618" t="s">
        <v>614</v>
      </c>
      <c r="C618">
        <v>23</v>
      </c>
      <c r="D618">
        <v>2</v>
      </c>
      <c r="E618">
        <v>0</v>
      </c>
      <c r="F618">
        <v>0</v>
      </c>
      <c r="G618">
        <v>0</v>
      </c>
      <c r="H618">
        <v>3</v>
      </c>
      <c r="I618">
        <v>12</v>
      </c>
      <c r="J618">
        <v>7</v>
      </c>
      <c r="K618">
        <f t="shared" si="11"/>
        <v>3</v>
      </c>
    </row>
    <row r="619" spans="2:11" x14ac:dyDescent="0.35">
      <c r="B619" t="s">
        <v>615</v>
      </c>
      <c r="C619">
        <v>24</v>
      </c>
      <c r="D619">
        <v>3</v>
      </c>
      <c r="E619">
        <v>0</v>
      </c>
      <c r="F619">
        <v>0</v>
      </c>
      <c r="G619">
        <v>0</v>
      </c>
      <c r="H619">
        <v>4</v>
      </c>
      <c r="I619">
        <v>12</v>
      </c>
      <c r="J619">
        <v>6</v>
      </c>
      <c r="K619">
        <f t="shared" si="11"/>
        <v>3</v>
      </c>
    </row>
    <row r="620" spans="2:11" x14ac:dyDescent="0.35">
      <c r="B620" t="s">
        <v>616</v>
      </c>
      <c r="C620">
        <v>17</v>
      </c>
      <c r="D620">
        <v>2</v>
      </c>
      <c r="E620">
        <v>0</v>
      </c>
      <c r="F620">
        <v>0</v>
      </c>
      <c r="G620">
        <v>0</v>
      </c>
      <c r="H620">
        <v>0</v>
      </c>
      <c r="I620">
        <v>10</v>
      </c>
      <c r="J620">
        <v>6</v>
      </c>
      <c r="K620">
        <f t="shared" si="11"/>
        <v>2</v>
      </c>
    </row>
    <row r="621" spans="2:11" x14ac:dyDescent="0.35">
      <c r="B621" t="s">
        <v>617</v>
      </c>
      <c r="C621">
        <v>23</v>
      </c>
      <c r="D621">
        <v>2</v>
      </c>
      <c r="E621">
        <v>0</v>
      </c>
      <c r="F621">
        <v>0</v>
      </c>
      <c r="G621">
        <v>0</v>
      </c>
      <c r="H621">
        <v>3</v>
      </c>
      <c r="I621">
        <v>12</v>
      </c>
      <c r="J621">
        <v>7</v>
      </c>
      <c r="K621">
        <f t="shared" si="11"/>
        <v>3</v>
      </c>
    </row>
    <row r="622" spans="2:11" x14ac:dyDescent="0.35">
      <c r="B622" t="s">
        <v>618</v>
      </c>
      <c r="C622">
        <v>17</v>
      </c>
      <c r="D622">
        <v>2</v>
      </c>
      <c r="E622">
        <v>0</v>
      </c>
      <c r="F622">
        <v>0</v>
      </c>
      <c r="G622">
        <v>0</v>
      </c>
      <c r="H622">
        <v>0</v>
      </c>
      <c r="I622">
        <v>10</v>
      </c>
      <c r="J622">
        <v>6</v>
      </c>
      <c r="K622">
        <f t="shared" si="11"/>
        <v>2</v>
      </c>
    </row>
    <row r="623" spans="2:11" x14ac:dyDescent="0.35">
      <c r="B623" t="s">
        <v>619</v>
      </c>
      <c r="C623">
        <v>22</v>
      </c>
      <c r="D623">
        <v>2</v>
      </c>
      <c r="E623">
        <v>0</v>
      </c>
      <c r="F623">
        <v>0</v>
      </c>
      <c r="G623">
        <v>0</v>
      </c>
      <c r="H623">
        <v>1</v>
      </c>
      <c r="I623">
        <v>12</v>
      </c>
      <c r="J623">
        <v>8</v>
      </c>
      <c r="K623">
        <f t="shared" si="11"/>
        <v>3</v>
      </c>
    </row>
    <row r="624" spans="2:11" x14ac:dyDescent="0.35">
      <c r="B624" t="s">
        <v>620</v>
      </c>
      <c r="C624">
        <v>52</v>
      </c>
      <c r="D624">
        <v>3</v>
      </c>
      <c r="E624">
        <v>0</v>
      </c>
      <c r="F624">
        <v>0</v>
      </c>
      <c r="G624">
        <v>11</v>
      </c>
      <c r="H624">
        <v>7</v>
      </c>
      <c r="I624">
        <v>13</v>
      </c>
      <c r="J624">
        <v>19</v>
      </c>
      <c r="K624">
        <f t="shared" si="11"/>
        <v>4</v>
      </c>
    </row>
    <row r="625" spans="2:11" x14ac:dyDescent="0.35">
      <c r="B625" t="s">
        <v>621</v>
      </c>
      <c r="C625">
        <v>16</v>
      </c>
      <c r="D625">
        <v>1</v>
      </c>
      <c r="E625">
        <v>0</v>
      </c>
      <c r="F625">
        <v>0</v>
      </c>
      <c r="G625">
        <v>0</v>
      </c>
      <c r="H625">
        <v>1</v>
      </c>
      <c r="I625">
        <v>10</v>
      </c>
      <c r="J625">
        <v>5</v>
      </c>
      <c r="K625">
        <f t="shared" si="11"/>
        <v>3</v>
      </c>
    </row>
    <row r="626" spans="2:11" x14ac:dyDescent="0.35">
      <c r="B626" t="s">
        <v>622</v>
      </c>
      <c r="C626">
        <v>32</v>
      </c>
      <c r="D626">
        <v>3</v>
      </c>
      <c r="E626">
        <v>0</v>
      </c>
      <c r="F626">
        <v>3</v>
      </c>
      <c r="G626">
        <v>2</v>
      </c>
      <c r="H626">
        <v>1</v>
      </c>
      <c r="I626">
        <v>9</v>
      </c>
      <c r="J626">
        <v>15</v>
      </c>
      <c r="K626">
        <f t="shared" si="11"/>
        <v>5</v>
      </c>
    </row>
    <row r="627" spans="2:11" x14ac:dyDescent="0.35">
      <c r="B627" t="s">
        <v>623</v>
      </c>
      <c r="C627">
        <v>11</v>
      </c>
      <c r="D627">
        <v>1</v>
      </c>
      <c r="E627">
        <v>0</v>
      </c>
      <c r="F627">
        <v>1</v>
      </c>
      <c r="G627">
        <v>0</v>
      </c>
      <c r="H627">
        <v>0</v>
      </c>
      <c r="I627">
        <v>5</v>
      </c>
      <c r="J627">
        <v>5</v>
      </c>
      <c r="K627">
        <f t="shared" si="11"/>
        <v>3</v>
      </c>
    </row>
    <row r="628" spans="2:11" x14ac:dyDescent="0.35">
      <c r="B628" t="s">
        <v>624</v>
      </c>
      <c r="C628">
        <v>78</v>
      </c>
      <c r="D628">
        <v>5</v>
      </c>
      <c r="E628">
        <v>0</v>
      </c>
      <c r="F628">
        <v>0</v>
      </c>
      <c r="G628">
        <v>1</v>
      </c>
      <c r="H628">
        <v>20</v>
      </c>
      <c r="I628">
        <v>17</v>
      </c>
      <c r="J628">
        <v>36</v>
      </c>
      <c r="K628">
        <f t="shared" si="11"/>
        <v>4</v>
      </c>
    </row>
    <row r="629" spans="2:11" x14ac:dyDescent="0.35">
      <c r="B629" t="s">
        <v>625</v>
      </c>
      <c r="C629">
        <v>105</v>
      </c>
      <c r="D629">
        <v>4</v>
      </c>
      <c r="E629">
        <v>0</v>
      </c>
      <c r="F629">
        <v>5</v>
      </c>
      <c r="G629">
        <v>2</v>
      </c>
      <c r="H629">
        <v>14</v>
      </c>
      <c r="I629">
        <v>48</v>
      </c>
      <c r="J629">
        <v>33</v>
      </c>
      <c r="K629">
        <f t="shared" si="11"/>
        <v>5</v>
      </c>
    </row>
    <row r="630" spans="2:11" x14ac:dyDescent="0.35">
      <c r="B630" t="s">
        <v>626</v>
      </c>
      <c r="C630">
        <v>76</v>
      </c>
      <c r="D630">
        <v>1</v>
      </c>
      <c r="E630">
        <v>2</v>
      </c>
      <c r="F630">
        <v>0</v>
      </c>
      <c r="G630">
        <v>0</v>
      </c>
      <c r="H630">
        <v>3</v>
      </c>
      <c r="I630">
        <v>22</v>
      </c>
      <c r="J630">
        <v>49</v>
      </c>
      <c r="K630">
        <f t="shared" si="11"/>
        <v>4</v>
      </c>
    </row>
    <row r="631" spans="2:11" x14ac:dyDescent="0.35">
      <c r="B631" t="s">
        <v>627</v>
      </c>
      <c r="C631">
        <v>58</v>
      </c>
      <c r="D631">
        <v>7</v>
      </c>
      <c r="E631">
        <v>0</v>
      </c>
      <c r="F631">
        <v>1</v>
      </c>
      <c r="G631">
        <v>3</v>
      </c>
      <c r="H631">
        <v>0</v>
      </c>
      <c r="I631">
        <v>12</v>
      </c>
      <c r="J631">
        <v>36</v>
      </c>
      <c r="K631">
        <f t="shared" si="11"/>
        <v>4</v>
      </c>
    </row>
    <row r="632" spans="2:11" x14ac:dyDescent="0.35">
      <c r="B632" t="s">
        <v>628</v>
      </c>
      <c r="C632">
        <v>5</v>
      </c>
      <c r="D632">
        <v>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5</v>
      </c>
      <c r="K632">
        <f t="shared" si="11"/>
        <v>1</v>
      </c>
    </row>
    <row r="633" spans="2:11" x14ac:dyDescent="0.35">
      <c r="B633" t="s">
        <v>629</v>
      </c>
      <c r="C633">
        <v>23</v>
      </c>
      <c r="D633">
        <v>3</v>
      </c>
      <c r="E633">
        <v>0</v>
      </c>
      <c r="F633">
        <v>0</v>
      </c>
      <c r="G633">
        <v>1</v>
      </c>
      <c r="H633">
        <v>0</v>
      </c>
      <c r="I633">
        <v>4</v>
      </c>
      <c r="J633">
        <v>16</v>
      </c>
      <c r="K633">
        <f t="shared" si="11"/>
        <v>3</v>
      </c>
    </row>
    <row r="634" spans="2:11" x14ac:dyDescent="0.35">
      <c r="B634" t="s">
        <v>630</v>
      </c>
      <c r="C634">
        <v>35</v>
      </c>
      <c r="D634">
        <v>3</v>
      </c>
      <c r="E634">
        <v>0</v>
      </c>
      <c r="F634">
        <v>0</v>
      </c>
      <c r="G634">
        <v>1</v>
      </c>
      <c r="H634">
        <v>0</v>
      </c>
      <c r="I634">
        <v>8</v>
      </c>
      <c r="J634">
        <v>24</v>
      </c>
      <c r="K634">
        <f t="shared" si="11"/>
        <v>3</v>
      </c>
    </row>
    <row r="635" spans="2:11" x14ac:dyDescent="0.35">
      <c r="B635" t="s">
        <v>631</v>
      </c>
      <c r="C635">
        <v>30</v>
      </c>
      <c r="D635">
        <v>4</v>
      </c>
      <c r="E635">
        <v>2</v>
      </c>
      <c r="F635">
        <v>0</v>
      </c>
      <c r="G635">
        <v>0</v>
      </c>
      <c r="H635">
        <v>3</v>
      </c>
      <c r="I635">
        <v>10</v>
      </c>
      <c r="J635">
        <v>12</v>
      </c>
      <c r="K635">
        <f t="shared" si="11"/>
        <v>4</v>
      </c>
    </row>
    <row r="636" spans="2:11" x14ac:dyDescent="0.35">
      <c r="B636" t="s">
        <v>632</v>
      </c>
      <c r="C636">
        <v>47</v>
      </c>
      <c r="D636">
        <v>0</v>
      </c>
      <c r="E636">
        <v>0</v>
      </c>
      <c r="F636">
        <v>0</v>
      </c>
      <c r="G636">
        <v>0</v>
      </c>
      <c r="H636">
        <v>24</v>
      </c>
      <c r="I636">
        <v>2</v>
      </c>
      <c r="J636">
        <v>22</v>
      </c>
      <c r="K636">
        <f t="shared" si="11"/>
        <v>2</v>
      </c>
    </row>
    <row r="637" spans="2:11" x14ac:dyDescent="0.35">
      <c r="B637" t="s">
        <v>633</v>
      </c>
      <c r="C637">
        <v>39</v>
      </c>
      <c r="D637">
        <v>2</v>
      </c>
      <c r="E637">
        <v>0</v>
      </c>
      <c r="F637">
        <v>0</v>
      </c>
      <c r="G637">
        <v>3</v>
      </c>
      <c r="H637">
        <v>5</v>
      </c>
      <c r="I637">
        <v>4</v>
      </c>
      <c r="J637">
        <v>26</v>
      </c>
      <c r="K637">
        <f t="shared" si="11"/>
        <v>4</v>
      </c>
    </row>
    <row r="638" spans="2:11" x14ac:dyDescent="0.35">
      <c r="B638" t="s">
        <v>634</v>
      </c>
      <c r="C638">
        <v>32</v>
      </c>
      <c r="D638">
        <v>0</v>
      </c>
      <c r="E638">
        <v>0</v>
      </c>
      <c r="F638">
        <v>3</v>
      </c>
      <c r="G638">
        <v>1</v>
      </c>
      <c r="H638">
        <v>2</v>
      </c>
      <c r="I638">
        <v>7</v>
      </c>
      <c r="J638">
        <v>20</v>
      </c>
      <c r="K638">
        <f t="shared" si="11"/>
        <v>4</v>
      </c>
    </row>
    <row r="639" spans="2:11" x14ac:dyDescent="0.35">
      <c r="B639" t="s">
        <v>635</v>
      </c>
      <c r="C639">
        <v>105</v>
      </c>
      <c r="D639">
        <v>2</v>
      </c>
      <c r="E639">
        <v>0</v>
      </c>
      <c r="F639">
        <v>0</v>
      </c>
      <c r="G639">
        <v>2</v>
      </c>
      <c r="H639">
        <v>5</v>
      </c>
      <c r="I639">
        <v>58</v>
      </c>
      <c r="J639">
        <v>39</v>
      </c>
      <c r="K639">
        <f t="shared" si="11"/>
        <v>4</v>
      </c>
    </row>
    <row r="640" spans="2:11" x14ac:dyDescent="0.35">
      <c r="B640" t="s">
        <v>636</v>
      </c>
      <c r="C640">
        <v>6</v>
      </c>
      <c r="D640">
        <v>0</v>
      </c>
      <c r="E640">
        <v>0</v>
      </c>
      <c r="F640">
        <v>0</v>
      </c>
      <c r="G640">
        <v>2</v>
      </c>
      <c r="H640">
        <v>0</v>
      </c>
      <c r="I640">
        <v>1</v>
      </c>
      <c r="J640">
        <v>4</v>
      </c>
      <c r="K640">
        <f t="shared" si="11"/>
        <v>2</v>
      </c>
    </row>
    <row r="641" spans="2:11" x14ac:dyDescent="0.35">
      <c r="B641" t="s">
        <v>637</v>
      </c>
      <c r="C641">
        <v>5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6</v>
      </c>
      <c r="K641">
        <f t="shared" si="11"/>
        <v>0</v>
      </c>
    </row>
    <row r="642" spans="2:11" x14ac:dyDescent="0.35">
      <c r="B642" t="s">
        <v>638</v>
      </c>
      <c r="C642">
        <v>8</v>
      </c>
      <c r="D642">
        <v>0</v>
      </c>
      <c r="E642">
        <v>0</v>
      </c>
      <c r="F642">
        <v>0</v>
      </c>
      <c r="G642">
        <v>0</v>
      </c>
      <c r="H642">
        <v>3</v>
      </c>
      <c r="I642">
        <v>2</v>
      </c>
      <c r="J642">
        <v>4</v>
      </c>
      <c r="K642">
        <f t="shared" si="11"/>
        <v>2</v>
      </c>
    </row>
    <row r="643" spans="2:11" x14ac:dyDescent="0.35">
      <c r="B643" t="s">
        <v>639</v>
      </c>
      <c r="C643">
        <v>8</v>
      </c>
      <c r="D643">
        <v>1</v>
      </c>
      <c r="E643">
        <v>0</v>
      </c>
      <c r="F643">
        <v>0</v>
      </c>
      <c r="G643">
        <v>0</v>
      </c>
      <c r="H643">
        <v>2</v>
      </c>
      <c r="I643">
        <v>3</v>
      </c>
      <c r="J643">
        <v>3</v>
      </c>
      <c r="K643">
        <f t="shared" si="11"/>
        <v>3</v>
      </c>
    </row>
    <row r="644" spans="2:11" x14ac:dyDescent="0.35">
      <c r="B644" t="s">
        <v>640</v>
      </c>
      <c r="C644">
        <v>23</v>
      </c>
      <c r="D644">
        <v>2</v>
      </c>
      <c r="E644">
        <v>0</v>
      </c>
      <c r="F644">
        <v>0</v>
      </c>
      <c r="G644">
        <v>3</v>
      </c>
      <c r="H644">
        <v>3</v>
      </c>
      <c r="I644">
        <v>8</v>
      </c>
      <c r="J644">
        <v>8</v>
      </c>
      <c r="K644">
        <f t="shared" si="11"/>
        <v>4</v>
      </c>
    </row>
    <row r="645" spans="2:11" x14ac:dyDescent="0.35">
      <c r="B645" t="s">
        <v>641</v>
      </c>
      <c r="C645">
        <v>10</v>
      </c>
      <c r="D645">
        <v>0</v>
      </c>
      <c r="E645">
        <v>0</v>
      </c>
      <c r="F645">
        <v>0</v>
      </c>
      <c r="G645">
        <v>0</v>
      </c>
      <c r="H645">
        <v>1</v>
      </c>
      <c r="I645">
        <v>5</v>
      </c>
      <c r="J645">
        <v>5</v>
      </c>
      <c r="K645">
        <f t="shared" si="11"/>
        <v>2</v>
      </c>
    </row>
    <row r="646" spans="2:11" x14ac:dyDescent="0.35">
      <c r="B646" t="s">
        <v>642</v>
      </c>
      <c r="C646">
        <v>95</v>
      </c>
      <c r="D646">
        <v>3</v>
      </c>
      <c r="E646">
        <v>0</v>
      </c>
      <c r="F646">
        <v>1</v>
      </c>
      <c r="G646">
        <v>10</v>
      </c>
      <c r="H646">
        <v>9</v>
      </c>
      <c r="I646">
        <v>34</v>
      </c>
      <c r="J646">
        <v>39</v>
      </c>
      <c r="K646">
        <f t="shared" si="11"/>
        <v>5</v>
      </c>
    </row>
    <row r="647" spans="2:11" x14ac:dyDescent="0.35">
      <c r="B647" t="s">
        <v>643</v>
      </c>
      <c r="C647">
        <v>80</v>
      </c>
      <c r="D647">
        <v>2</v>
      </c>
      <c r="E647">
        <v>0</v>
      </c>
      <c r="F647">
        <v>3</v>
      </c>
      <c r="G647">
        <v>4</v>
      </c>
      <c r="H647">
        <v>9</v>
      </c>
      <c r="I647">
        <v>28</v>
      </c>
      <c r="J647">
        <v>35</v>
      </c>
      <c r="K647">
        <f t="shared" si="11"/>
        <v>5</v>
      </c>
    </row>
    <row r="648" spans="2:11" x14ac:dyDescent="0.35">
      <c r="B648" t="s">
        <v>644</v>
      </c>
      <c r="C648">
        <v>11</v>
      </c>
      <c r="D648">
        <v>1</v>
      </c>
      <c r="E648">
        <v>0</v>
      </c>
      <c r="F648">
        <v>0</v>
      </c>
      <c r="G648">
        <v>3</v>
      </c>
      <c r="H648">
        <v>0</v>
      </c>
      <c r="I648">
        <v>6</v>
      </c>
      <c r="J648">
        <v>2</v>
      </c>
      <c r="K648">
        <f t="shared" si="11"/>
        <v>3</v>
      </c>
    </row>
    <row r="649" spans="2:11" x14ac:dyDescent="0.35">
      <c r="B649" t="s">
        <v>645</v>
      </c>
      <c r="C649">
        <v>81</v>
      </c>
      <c r="D649">
        <v>4</v>
      </c>
      <c r="E649">
        <v>0</v>
      </c>
      <c r="F649">
        <v>2</v>
      </c>
      <c r="G649">
        <v>2</v>
      </c>
      <c r="H649">
        <v>9</v>
      </c>
      <c r="I649">
        <v>27</v>
      </c>
      <c r="J649">
        <v>38</v>
      </c>
      <c r="K649">
        <f t="shared" si="11"/>
        <v>5</v>
      </c>
    </row>
    <row r="650" spans="2:11" x14ac:dyDescent="0.35">
      <c r="B650" t="s">
        <v>646</v>
      </c>
      <c r="C650">
        <v>35</v>
      </c>
      <c r="D650">
        <v>6</v>
      </c>
      <c r="E650">
        <v>0</v>
      </c>
      <c r="F650">
        <v>1</v>
      </c>
      <c r="G650">
        <v>3</v>
      </c>
      <c r="H650">
        <v>2</v>
      </c>
      <c r="I650">
        <v>4</v>
      </c>
      <c r="J650">
        <v>20</v>
      </c>
      <c r="K650">
        <f t="shared" si="11"/>
        <v>5</v>
      </c>
    </row>
    <row r="651" spans="2:11" x14ac:dyDescent="0.35">
      <c r="B651" t="s">
        <v>647</v>
      </c>
      <c r="C651">
        <v>65</v>
      </c>
      <c r="D651">
        <v>4</v>
      </c>
      <c r="E651">
        <v>0</v>
      </c>
      <c r="F651">
        <v>2</v>
      </c>
      <c r="G651">
        <v>2</v>
      </c>
      <c r="H651">
        <v>3</v>
      </c>
      <c r="I651">
        <v>25</v>
      </c>
      <c r="J651">
        <v>30</v>
      </c>
      <c r="K651">
        <f t="shared" si="11"/>
        <v>5</v>
      </c>
    </row>
    <row r="652" spans="2:11" x14ac:dyDescent="0.35">
      <c r="B652" t="s">
        <v>648</v>
      </c>
      <c r="C652">
        <v>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2</v>
      </c>
      <c r="J652">
        <v>6</v>
      </c>
      <c r="K652">
        <f t="shared" ref="K652:K715" si="12">COUNTIF(D652:I652, "&gt;0")</f>
        <v>1</v>
      </c>
    </row>
    <row r="653" spans="2:11" x14ac:dyDescent="0.35">
      <c r="B653" t="s">
        <v>649</v>
      </c>
      <c r="C653">
        <v>35</v>
      </c>
      <c r="D653">
        <v>3</v>
      </c>
      <c r="E653">
        <v>0</v>
      </c>
      <c r="F653">
        <v>1</v>
      </c>
      <c r="G653">
        <v>7</v>
      </c>
      <c r="H653">
        <v>5</v>
      </c>
      <c r="I653">
        <v>10</v>
      </c>
      <c r="J653">
        <v>10</v>
      </c>
      <c r="K653">
        <f t="shared" si="12"/>
        <v>5</v>
      </c>
    </row>
    <row r="654" spans="2:11" x14ac:dyDescent="0.35">
      <c r="B654" t="s">
        <v>650</v>
      </c>
      <c r="C654">
        <v>8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5</v>
      </c>
      <c r="J654">
        <v>3</v>
      </c>
      <c r="K654">
        <f t="shared" si="12"/>
        <v>2</v>
      </c>
    </row>
    <row r="655" spans="2:11" x14ac:dyDescent="0.35">
      <c r="B655" t="s">
        <v>651</v>
      </c>
      <c r="C655">
        <v>25</v>
      </c>
      <c r="D655">
        <v>2</v>
      </c>
      <c r="E655">
        <v>1</v>
      </c>
      <c r="F655">
        <v>0</v>
      </c>
      <c r="G655">
        <v>4</v>
      </c>
      <c r="H655">
        <v>2</v>
      </c>
      <c r="I655">
        <v>7</v>
      </c>
      <c r="J655">
        <v>10</v>
      </c>
      <c r="K655">
        <f t="shared" si="12"/>
        <v>5</v>
      </c>
    </row>
    <row r="656" spans="2:11" x14ac:dyDescent="0.35">
      <c r="B656" t="s">
        <v>652</v>
      </c>
      <c r="C656">
        <v>32</v>
      </c>
      <c r="D656">
        <v>1</v>
      </c>
      <c r="E656">
        <v>0</v>
      </c>
      <c r="F656">
        <v>0</v>
      </c>
      <c r="G656">
        <v>6</v>
      </c>
      <c r="H656">
        <v>1</v>
      </c>
      <c r="I656">
        <v>12</v>
      </c>
      <c r="J656">
        <v>13</v>
      </c>
      <c r="K656">
        <f t="shared" si="12"/>
        <v>4</v>
      </c>
    </row>
    <row r="657" spans="2:11" x14ac:dyDescent="0.35">
      <c r="B657" t="s">
        <v>653</v>
      </c>
      <c r="C657">
        <v>29</v>
      </c>
      <c r="D657">
        <v>0</v>
      </c>
      <c r="E657">
        <v>0</v>
      </c>
      <c r="F657">
        <v>0</v>
      </c>
      <c r="G657">
        <v>0</v>
      </c>
      <c r="H657">
        <v>10</v>
      </c>
      <c r="I657">
        <v>4</v>
      </c>
      <c r="J657">
        <v>16</v>
      </c>
      <c r="K657">
        <f t="shared" si="12"/>
        <v>2</v>
      </c>
    </row>
    <row r="658" spans="2:11" x14ac:dyDescent="0.35">
      <c r="B658" t="s">
        <v>654</v>
      </c>
      <c r="C658">
        <v>94</v>
      </c>
      <c r="D658">
        <v>0</v>
      </c>
      <c r="E658">
        <v>0</v>
      </c>
      <c r="F658">
        <v>0</v>
      </c>
      <c r="G658">
        <v>2</v>
      </c>
      <c r="H658">
        <v>21</v>
      </c>
      <c r="I658">
        <v>31</v>
      </c>
      <c r="J658">
        <v>41</v>
      </c>
      <c r="K658">
        <f t="shared" si="12"/>
        <v>3</v>
      </c>
    </row>
    <row r="659" spans="2:11" x14ac:dyDescent="0.35">
      <c r="B659" t="s">
        <v>655</v>
      </c>
      <c r="C659">
        <v>22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7</v>
      </c>
      <c r="J659">
        <v>16</v>
      </c>
      <c r="K659">
        <f t="shared" si="12"/>
        <v>1</v>
      </c>
    </row>
    <row r="660" spans="2:11" x14ac:dyDescent="0.35">
      <c r="B660" t="s">
        <v>656</v>
      </c>
      <c r="C660">
        <v>7</v>
      </c>
      <c r="D660">
        <v>1</v>
      </c>
      <c r="E660">
        <v>1</v>
      </c>
      <c r="F660">
        <v>0</v>
      </c>
      <c r="G660">
        <v>0</v>
      </c>
      <c r="H660">
        <v>0</v>
      </c>
      <c r="I660">
        <v>4</v>
      </c>
      <c r="J660">
        <v>2</v>
      </c>
      <c r="K660">
        <f t="shared" si="12"/>
        <v>3</v>
      </c>
    </row>
    <row r="661" spans="2:11" x14ac:dyDescent="0.35">
      <c r="B661" t="s">
        <v>657</v>
      </c>
      <c r="C661">
        <v>7</v>
      </c>
      <c r="D661">
        <v>1</v>
      </c>
      <c r="E661">
        <v>0</v>
      </c>
      <c r="F661">
        <v>0</v>
      </c>
      <c r="G661">
        <v>0</v>
      </c>
      <c r="H661">
        <v>1</v>
      </c>
      <c r="I661">
        <v>0</v>
      </c>
      <c r="J661">
        <v>6</v>
      </c>
      <c r="K661">
        <f t="shared" si="12"/>
        <v>2</v>
      </c>
    </row>
    <row r="662" spans="2:11" x14ac:dyDescent="0.35">
      <c r="B662" t="s">
        <v>658</v>
      </c>
      <c r="C662">
        <v>118</v>
      </c>
      <c r="D662">
        <v>5</v>
      </c>
      <c r="E662">
        <v>1</v>
      </c>
      <c r="F662">
        <v>0</v>
      </c>
      <c r="G662">
        <v>0</v>
      </c>
      <c r="H662">
        <v>27</v>
      </c>
      <c r="I662">
        <v>18</v>
      </c>
      <c r="J662">
        <v>68</v>
      </c>
      <c r="K662">
        <f t="shared" si="12"/>
        <v>4</v>
      </c>
    </row>
    <row r="663" spans="2:11" x14ac:dyDescent="0.35">
      <c r="B663" t="s">
        <v>659</v>
      </c>
      <c r="C663">
        <v>41</v>
      </c>
      <c r="D663">
        <v>2</v>
      </c>
      <c r="E663">
        <v>0</v>
      </c>
      <c r="F663">
        <v>0</v>
      </c>
      <c r="G663">
        <v>10</v>
      </c>
      <c r="H663">
        <v>5</v>
      </c>
      <c r="I663">
        <v>18</v>
      </c>
      <c r="J663">
        <v>7</v>
      </c>
      <c r="K663">
        <f t="shared" si="12"/>
        <v>4</v>
      </c>
    </row>
    <row r="664" spans="2:11" x14ac:dyDescent="0.35">
      <c r="B664" t="s">
        <v>660</v>
      </c>
      <c r="C664">
        <v>6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7</v>
      </c>
      <c r="K664">
        <f t="shared" si="12"/>
        <v>0</v>
      </c>
    </row>
    <row r="665" spans="2:11" x14ac:dyDescent="0.35">
      <c r="B665" t="s">
        <v>661</v>
      </c>
      <c r="C665">
        <v>74</v>
      </c>
      <c r="D665">
        <v>3</v>
      </c>
      <c r="E665">
        <v>0</v>
      </c>
      <c r="F665">
        <v>0</v>
      </c>
      <c r="G665">
        <v>19</v>
      </c>
      <c r="H665">
        <v>12</v>
      </c>
      <c r="I665">
        <v>12</v>
      </c>
      <c r="J665">
        <v>29</v>
      </c>
      <c r="K665">
        <f t="shared" si="12"/>
        <v>4</v>
      </c>
    </row>
    <row r="666" spans="2:11" x14ac:dyDescent="0.35">
      <c r="B666" t="s">
        <v>662</v>
      </c>
      <c r="C666">
        <v>5</v>
      </c>
      <c r="D666">
        <v>0</v>
      </c>
      <c r="E666">
        <v>0</v>
      </c>
      <c r="F666">
        <v>1</v>
      </c>
      <c r="G666">
        <v>0</v>
      </c>
      <c r="H666">
        <v>0</v>
      </c>
      <c r="I666">
        <v>1</v>
      </c>
      <c r="J666">
        <v>4</v>
      </c>
      <c r="K666">
        <f t="shared" si="12"/>
        <v>2</v>
      </c>
    </row>
    <row r="667" spans="2:11" x14ac:dyDescent="0.35">
      <c r="B667" t="s">
        <v>663</v>
      </c>
      <c r="C667">
        <v>65</v>
      </c>
      <c r="D667">
        <v>11</v>
      </c>
      <c r="E667">
        <v>0</v>
      </c>
      <c r="F667">
        <v>1</v>
      </c>
      <c r="G667">
        <v>1</v>
      </c>
      <c r="H667">
        <v>1</v>
      </c>
      <c r="I667">
        <v>42</v>
      </c>
      <c r="J667">
        <v>10</v>
      </c>
      <c r="K667">
        <f t="shared" si="12"/>
        <v>5</v>
      </c>
    </row>
    <row r="668" spans="2:11" x14ac:dyDescent="0.35">
      <c r="B668" t="s">
        <v>664</v>
      </c>
      <c r="C668">
        <v>23</v>
      </c>
      <c r="D668">
        <v>2</v>
      </c>
      <c r="E668">
        <v>0</v>
      </c>
      <c r="F668">
        <v>0</v>
      </c>
      <c r="G668">
        <v>1</v>
      </c>
      <c r="H668">
        <v>1</v>
      </c>
      <c r="I668">
        <v>11</v>
      </c>
      <c r="J668">
        <v>9</v>
      </c>
      <c r="K668">
        <f t="shared" si="12"/>
        <v>4</v>
      </c>
    </row>
    <row r="669" spans="2:11" x14ac:dyDescent="0.35">
      <c r="B669" t="s">
        <v>665</v>
      </c>
      <c r="C669">
        <v>16</v>
      </c>
      <c r="D669">
        <v>1</v>
      </c>
      <c r="E669">
        <v>0</v>
      </c>
      <c r="F669">
        <v>0</v>
      </c>
      <c r="G669">
        <v>9</v>
      </c>
      <c r="H669">
        <v>0</v>
      </c>
      <c r="I669">
        <v>2</v>
      </c>
      <c r="J669">
        <v>5</v>
      </c>
      <c r="K669">
        <f t="shared" si="12"/>
        <v>3</v>
      </c>
    </row>
    <row r="670" spans="2:11" x14ac:dyDescent="0.35">
      <c r="B670" t="s">
        <v>666</v>
      </c>
      <c r="C670">
        <v>17</v>
      </c>
      <c r="D670">
        <v>1</v>
      </c>
      <c r="E670">
        <v>0</v>
      </c>
      <c r="F670">
        <v>0</v>
      </c>
      <c r="G670">
        <v>1</v>
      </c>
      <c r="H670">
        <v>0</v>
      </c>
      <c r="I670">
        <v>3</v>
      </c>
      <c r="J670">
        <v>13</v>
      </c>
      <c r="K670">
        <f t="shared" si="12"/>
        <v>3</v>
      </c>
    </row>
    <row r="671" spans="2:11" x14ac:dyDescent="0.35">
      <c r="B671" t="s">
        <v>667</v>
      </c>
      <c r="C671">
        <v>27</v>
      </c>
      <c r="D671">
        <v>0</v>
      </c>
      <c r="E671">
        <v>0</v>
      </c>
      <c r="F671">
        <v>0</v>
      </c>
      <c r="G671">
        <v>0</v>
      </c>
      <c r="H671">
        <v>1</v>
      </c>
      <c r="I671">
        <v>26</v>
      </c>
      <c r="J671">
        <v>1</v>
      </c>
      <c r="K671">
        <f t="shared" si="12"/>
        <v>2</v>
      </c>
    </row>
    <row r="672" spans="2:11" x14ac:dyDescent="0.35">
      <c r="B672" t="s">
        <v>668</v>
      </c>
      <c r="C672">
        <v>14</v>
      </c>
      <c r="D672">
        <v>4</v>
      </c>
      <c r="E672">
        <v>0</v>
      </c>
      <c r="F672">
        <v>1</v>
      </c>
      <c r="G672">
        <v>1</v>
      </c>
      <c r="H672">
        <v>2</v>
      </c>
      <c r="I672">
        <v>4</v>
      </c>
      <c r="J672">
        <v>3</v>
      </c>
      <c r="K672">
        <f t="shared" si="12"/>
        <v>5</v>
      </c>
    </row>
    <row r="673" spans="2:11" x14ac:dyDescent="0.35">
      <c r="B673" t="s">
        <v>669</v>
      </c>
      <c r="C673">
        <v>19</v>
      </c>
      <c r="D673">
        <v>5</v>
      </c>
      <c r="E673">
        <v>0</v>
      </c>
      <c r="F673">
        <v>0</v>
      </c>
      <c r="G673">
        <v>1</v>
      </c>
      <c r="H673">
        <v>4</v>
      </c>
      <c r="I673">
        <v>4</v>
      </c>
      <c r="J673">
        <v>6</v>
      </c>
      <c r="K673">
        <f t="shared" si="12"/>
        <v>4</v>
      </c>
    </row>
    <row r="674" spans="2:11" x14ac:dyDescent="0.35">
      <c r="B674" t="s">
        <v>670</v>
      </c>
      <c r="C674">
        <v>26</v>
      </c>
      <c r="D674">
        <v>5</v>
      </c>
      <c r="E674">
        <v>1</v>
      </c>
      <c r="F674">
        <v>0</v>
      </c>
      <c r="G674">
        <v>0</v>
      </c>
      <c r="H674">
        <v>2</v>
      </c>
      <c r="I674">
        <v>12</v>
      </c>
      <c r="J674">
        <v>7</v>
      </c>
      <c r="K674">
        <f t="shared" si="12"/>
        <v>4</v>
      </c>
    </row>
    <row r="675" spans="2:11" x14ac:dyDescent="0.35">
      <c r="B675" t="s">
        <v>671</v>
      </c>
      <c r="C675">
        <v>21</v>
      </c>
      <c r="D675">
        <v>0</v>
      </c>
      <c r="E675">
        <v>0</v>
      </c>
      <c r="F675">
        <v>0</v>
      </c>
      <c r="G675">
        <v>0</v>
      </c>
      <c r="H675">
        <v>1</v>
      </c>
      <c r="I675">
        <v>0</v>
      </c>
      <c r="J675">
        <v>21</v>
      </c>
      <c r="K675">
        <f t="shared" si="12"/>
        <v>1</v>
      </c>
    </row>
    <row r="676" spans="2:11" x14ac:dyDescent="0.35">
      <c r="B676" t="s">
        <v>672</v>
      </c>
      <c r="C676">
        <v>120</v>
      </c>
      <c r="D676">
        <v>17</v>
      </c>
      <c r="E676">
        <v>0</v>
      </c>
      <c r="F676">
        <v>2</v>
      </c>
      <c r="G676">
        <v>13</v>
      </c>
      <c r="H676">
        <v>5</v>
      </c>
      <c r="I676">
        <v>53</v>
      </c>
      <c r="J676">
        <v>31</v>
      </c>
      <c r="K676">
        <f t="shared" si="12"/>
        <v>5</v>
      </c>
    </row>
    <row r="677" spans="2:11" x14ac:dyDescent="0.35">
      <c r="B677" t="s">
        <v>673</v>
      </c>
      <c r="C677">
        <v>57</v>
      </c>
      <c r="D677">
        <v>2</v>
      </c>
      <c r="E677">
        <v>0</v>
      </c>
      <c r="F677">
        <v>1</v>
      </c>
      <c r="G677">
        <v>1</v>
      </c>
      <c r="H677">
        <v>5</v>
      </c>
      <c r="I677">
        <v>14</v>
      </c>
      <c r="J677">
        <v>35</v>
      </c>
      <c r="K677">
        <f t="shared" si="12"/>
        <v>5</v>
      </c>
    </row>
    <row r="678" spans="2:11" x14ac:dyDescent="0.35">
      <c r="B678" t="s">
        <v>674</v>
      </c>
      <c r="C678">
        <v>35</v>
      </c>
      <c r="D678">
        <v>1</v>
      </c>
      <c r="E678">
        <v>0</v>
      </c>
      <c r="F678">
        <v>0</v>
      </c>
      <c r="G678">
        <v>1</v>
      </c>
      <c r="H678">
        <v>2</v>
      </c>
      <c r="I678">
        <v>5</v>
      </c>
      <c r="J678">
        <v>27</v>
      </c>
      <c r="K678">
        <f t="shared" si="12"/>
        <v>4</v>
      </c>
    </row>
    <row r="679" spans="2:11" x14ac:dyDescent="0.35">
      <c r="B679" t="s">
        <v>675</v>
      </c>
      <c r="C679">
        <v>17</v>
      </c>
      <c r="D679">
        <v>3</v>
      </c>
      <c r="E679">
        <v>0</v>
      </c>
      <c r="F679">
        <v>0</v>
      </c>
      <c r="G679">
        <v>2</v>
      </c>
      <c r="H679">
        <v>2</v>
      </c>
      <c r="I679">
        <v>3</v>
      </c>
      <c r="J679">
        <v>8</v>
      </c>
      <c r="K679">
        <f t="shared" si="12"/>
        <v>4</v>
      </c>
    </row>
    <row r="680" spans="2:11" x14ac:dyDescent="0.35">
      <c r="B680" t="s">
        <v>676</v>
      </c>
      <c r="C680">
        <v>144</v>
      </c>
      <c r="D680">
        <v>1</v>
      </c>
      <c r="E680">
        <v>2</v>
      </c>
      <c r="F680">
        <v>0</v>
      </c>
      <c r="G680">
        <v>2</v>
      </c>
      <c r="H680">
        <v>23</v>
      </c>
      <c r="I680">
        <v>26</v>
      </c>
      <c r="J680">
        <v>91</v>
      </c>
      <c r="K680">
        <f t="shared" si="12"/>
        <v>5</v>
      </c>
    </row>
    <row r="681" spans="2:11" x14ac:dyDescent="0.35">
      <c r="B681" t="s">
        <v>677</v>
      </c>
      <c r="C681">
        <v>54</v>
      </c>
      <c r="D681">
        <v>3</v>
      </c>
      <c r="E681">
        <v>1</v>
      </c>
      <c r="F681">
        <v>0</v>
      </c>
      <c r="G681">
        <v>9</v>
      </c>
      <c r="H681">
        <v>14</v>
      </c>
      <c r="I681">
        <v>13</v>
      </c>
      <c r="J681">
        <v>15</v>
      </c>
      <c r="K681">
        <f t="shared" si="12"/>
        <v>5</v>
      </c>
    </row>
    <row r="682" spans="2:11" x14ac:dyDescent="0.35">
      <c r="B682" t="s">
        <v>678</v>
      </c>
      <c r="C682">
        <v>15</v>
      </c>
      <c r="D682">
        <v>0</v>
      </c>
      <c r="E682">
        <v>0</v>
      </c>
      <c r="F682">
        <v>0</v>
      </c>
      <c r="G682">
        <v>0</v>
      </c>
      <c r="H682">
        <v>14</v>
      </c>
      <c r="I682">
        <v>0</v>
      </c>
      <c r="J682">
        <v>2</v>
      </c>
      <c r="K682">
        <f t="shared" si="12"/>
        <v>1</v>
      </c>
    </row>
    <row r="683" spans="2:11" x14ac:dyDescent="0.35">
      <c r="B683" t="s">
        <v>679</v>
      </c>
      <c r="C683">
        <v>24</v>
      </c>
      <c r="D683">
        <v>5</v>
      </c>
      <c r="E683">
        <v>1</v>
      </c>
      <c r="F683">
        <v>0</v>
      </c>
      <c r="G683">
        <v>5</v>
      </c>
      <c r="H683">
        <v>1</v>
      </c>
      <c r="I683">
        <v>8</v>
      </c>
      <c r="J683">
        <v>5</v>
      </c>
      <c r="K683">
        <f t="shared" si="12"/>
        <v>5</v>
      </c>
    </row>
    <row r="684" spans="2:11" x14ac:dyDescent="0.35">
      <c r="B684" t="s">
        <v>680</v>
      </c>
      <c r="C684">
        <v>137</v>
      </c>
      <c r="D684">
        <v>3</v>
      </c>
      <c r="E684">
        <v>1</v>
      </c>
      <c r="F684">
        <v>0</v>
      </c>
      <c r="G684">
        <v>39</v>
      </c>
      <c r="H684">
        <v>10</v>
      </c>
      <c r="I684">
        <v>44</v>
      </c>
      <c r="J684">
        <v>41</v>
      </c>
      <c r="K684">
        <f t="shared" si="12"/>
        <v>5</v>
      </c>
    </row>
    <row r="685" spans="2:11" x14ac:dyDescent="0.35">
      <c r="B685" t="s">
        <v>681</v>
      </c>
      <c r="C685">
        <v>23</v>
      </c>
      <c r="D685">
        <v>2</v>
      </c>
      <c r="E685">
        <v>1</v>
      </c>
      <c r="F685">
        <v>0</v>
      </c>
      <c r="G685">
        <v>2</v>
      </c>
      <c r="H685">
        <v>8</v>
      </c>
      <c r="I685">
        <v>3</v>
      </c>
      <c r="J685">
        <v>8</v>
      </c>
      <c r="K685">
        <f t="shared" si="12"/>
        <v>5</v>
      </c>
    </row>
    <row r="686" spans="2:11" x14ac:dyDescent="0.35">
      <c r="B686" t="s">
        <v>682</v>
      </c>
      <c r="C686">
        <v>29</v>
      </c>
      <c r="D686">
        <v>1</v>
      </c>
      <c r="E686">
        <v>1</v>
      </c>
      <c r="F686">
        <v>0</v>
      </c>
      <c r="G686">
        <v>0</v>
      </c>
      <c r="H686">
        <v>2</v>
      </c>
      <c r="I686">
        <v>9</v>
      </c>
      <c r="J686">
        <v>17</v>
      </c>
      <c r="K686">
        <f t="shared" si="12"/>
        <v>4</v>
      </c>
    </row>
    <row r="687" spans="2:11" x14ac:dyDescent="0.35">
      <c r="B687" t="s">
        <v>683</v>
      </c>
      <c r="C687">
        <v>9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2</v>
      </c>
      <c r="J687">
        <v>7</v>
      </c>
      <c r="K687">
        <f t="shared" si="12"/>
        <v>2</v>
      </c>
    </row>
    <row r="688" spans="2:11" x14ac:dyDescent="0.35">
      <c r="B688" t="s">
        <v>684</v>
      </c>
      <c r="C688">
        <v>9</v>
      </c>
      <c r="D688">
        <v>1</v>
      </c>
      <c r="E688">
        <v>0</v>
      </c>
      <c r="F688">
        <v>0</v>
      </c>
      <c r="G688">
        <v>0</v>
      </c>
      <c r="H688">
        <v>1</v>
      </c>
      <c r="I688">
        <v>3</v>
      </c>
      <c r="J688">
        <v>5</v>
      </c>
      <c r="K688">
        <f t="shared" si="12"/>
        <v>3</v>
      </c>
    </row>
    <row r="689" spans="2:11" x14ac:dyDescent="0.35">
      <c r="B689" t="s">
        <v>685</v>
      </c>
      <c r="C689">
        <v>36</v>
      </c>
      <c r="D689">
        <v>0</v>
      </c>
      <c r="E689">
        <v>0</v>
      </c>
      <c r="F689">
        <v>0</v>
      </c>
      <c r="G689">
        <v>1</v>
      </c>
      <c r="H689">
        <v>15</v>
      </c>
      <c r="I689">
        <v>7</v>
      </c>
      <c r="J689">
        <v>14</v>
      </c>
      <c r="K689">
        <f t="shared" si="12"/>
        <v>3</v>
      </c>
    </row>
    <row r="690" spans="2:11" x14ac:dyDescent="0.35">
      <c r="B690" t="s">
        <v>686</v>
      </c>
      <c r="C690">
        <v>49</v>
      </c>
      <c r="D690">
        <v>1</v>
      </c>
      <c r="E690">
        <v>1</v>
      </c>
      <c r="F690">
        <v>0</v>
      </c>
      <c r="G690">
        <v>5</v>
      </c>
      <c r="H690">
        <v>9</v>
      </c>
      <c r="I690">
        <v>16</v>
      </c>
      <c r="J690">
        <v>18</v>
      </c>
      <c r="K690">
        <f t="shared" si="12"/>
        <v>5</v>
      </c>
    </row>
    <row r="691" spans="2:11" x14ac:dyDescent="0.35">
      <c r="B691" t="s">
        <v>687</v>
      </c>
      <c r="C691">
        <v>53</v>
      </c>
      <c r="D691">
        <v>2</v>
      </c>
      <c r="E691">
        <v>0</v>
      </c>
      <c r="F691">
        <v>0</v>
      </c>
      <c r="G691">
        <v>1</v>
      </c>
      <c r="H691">
        <v>1</v>
      </c>
      <c r="I691">
        <v>5</v>
      </c>
      <c r="J691">
        <v>45</v>
      </c>
      <c r="K691">
        <f t="shared" si="12"/>
        <v>4</v>
      </c>
    </row>
    <row r="692" spans="2:11" x14ac:dyDescent="0.35">
      <c r="B692" t="s">
        <v>688</v>
      </c>
      <c r="C692">
        <v>44</v>
      </c>
      <c r="D692">
        <v>5</v>
      </c>
      <c r="E692">
        <v>1</v>
      </c>
      <c r="F692">
        <v>2</v>
      </c>
      <c r="G692">
        <v>0</v>
      </c>
      <c r="H692">
        <v>6</v>
      </c>
      <c r="I692">
        <v>3</v>
      </c>
      <c r="J692">
        <v>28</v>
      </c>
      <c r="K692">
        <f t="shared" si="12"/>
        <v>5</v>
      </c>
    </row>
    <row r="693" spans="2:11" x14ac:dyDescent="0.35">
      <c r="B693" t="s">
        <v>689</v>
      </c>
      <c r="C693">
        <v>23</v>
      </c>
      <c r="D693">
        <v>1</v>
      </c>
      <c r="E693">
        <v>1</v>
      </c>
      <c r="F693">
        <v>0</v>
      </c>
      <c r="G693">
        <v>10</v>
      </c>
      <c r="H693">
        <v>1</v>
      </c>
      <c r="I693">
        <v>6</v>
      </c>
      <c r="J693">
        <v>5</v>
      </c>
      <c r="K693">
        <f t="shared" si="12"/>
        <v>5</v>
      </c>
    </row>
    <row r="694" spans="2:11" x14ac:dyDescent="0.35">
      <c r="B694" t="s">
        <v>690</v>
      </c>
      <c r="C694">
        <v>23</v>
      </c>
      <c r="D694">
        <v>0</v>
      </c>
      <c r="E694">
        <v>0</v>
      </c>
      <c r="F694">
        <v>0</v>
      </c>
      <c r="G694">
        <v>15</v>
      </c>
      <c r="H694">
        <v>1</v>
      </c>
      <c r="I694">
        <v>5</v>
      </c>
      <c r="J694">
        <v>3</v>
      </c>
      <c r="K694">
        <f t="shared" si="12"/>
        <v>3</v>
      </c>
    </row>
    <row r="695" spans="2:11" x14ac:dyDescent="0.35">
      <c r="B695" t="s">
        <v>691</v>
      </c>
      <c r="C695">
        <v>9</v>
      </c>
      <c r="D695">
        <v>2</v>
      </c>
      <c r="E695">
        <v>0</v>
      </c>
      <c r="F695">
        <v>0</v>
      </c>
      <c r="G695">
        <v>1</v>
      </c>
      <c r="H695">
        <v>0</v>
      </c>
      <c r="I695">
        <v>3</v>
      </c>
      <c r="J695">
        <v>4</v>
      </c>
      <c r="K695">
        <f t="shared" si="12"/>
        <v>3</v>
      </c>
    </row>
    <row r="696" spans="2:11" x14ac:dyDescent="0.35">
      <c r="B696" t="s">
        <v>692</v>
      </c>
      <c r="C696">
        <v>17</v>
      </c>
      <c r="D696">
        <v>1</v>
      </c>
      <c r="E696">
        <v>0</v>
      </c>
      <c r="F696">
        <v>1</v>
      </c>
      <c r="G696">
        <v>0</v>
      </c>
      <c r="H696">
        <v>0</v>
      </c>
      <c r="I696">
        <v>4</v>
      </c>
      <c r="J696">
        <v>12</v>
      </c>
      <c r="K696">
        <f t="shared" si="12"/>
        <v>3</v>
      </c>
    </row>
    <row r="697" spans="2:11" x14ac:dyDescent="0.35">
      <c r="B697" t="s">
        <v>693</v>
      </c>
      <c r="C697">
        <v>7</v>
      </c>
      <c r="D697">
        <v>0</v>
      </c>
      <c r="E697">
        <v>0</v>
      </c>
      <c r="F697">
        <v>0</v>
      </c>
      <c r="G697">
        <v>0</v>
      </c>
      <c r="H697">
        <v>3</v>
      </c>
      <c r="I697">
        <v>1</v>
      </c>
      <c r="J697">
        <v>4</v>
      </c>
      <c r="K697">
        <f t="shared" si="12"/>
        <v>2</v>
      </c>
    </row>
    <row r="698" spans="2:11" x14ac:dyDescent="0.35">
      <c r="B698" t="s">
        <v>694</v>
      </c>
      <c r="C698">
        <v>6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1</v>
      </c>
      <c r="J698">
        <v>6</v>
      </c>
      <c r="K698">
        <f t="shared" si="12"/>
        <v>1</v>
      </c>
    </row>
    <row r="699" spans="2:11" x14ac:dyDescent="0.35">
      <c r="B699" t="s">
        <v>695</v>
      </c>
      <c r="C699">
        <v>38</v>
      </c>
      <c r="D699">
        <v>2</v>
      </c>
      <c r="E699">
        <v>0</v>
      </c>
      <c r="F699">
        <v>0</v>
      </c>
      <c r="G699">
        <v>9</v>
      </c>
      <c r="H699">
        <v>8</v>
      </c>
      <c r="I699">
        <v>7</v>
      </c>
      <c r="J699">
        <v>13</v>
      </c>
      <c r="K699">
        <f t="shared" si="12"/>
        <v>4</v>
      </c>
    </row>
    <row r="700" spans="2:11" x14ac:dyDescent="0.35">
      <c r="B700" t="s">
        <v>696</v>
      </c>
      <c r="C700">
        <v>19</v>
      </c>
      <c r="D700">
        <v>2</v>
      </c>
      <c r="E700">
        <v>0</v>
      </c>
      <c r="F700">
        <v>1</v>
      </c>
      <c r="G700">
        <v>0</v>
      </c>
      <c r="H700">
        <v>3</v>
      </c>
      <c r="I700">
        <v>8</v>
      </c>
      <c r="J700">
        <v>6</v>
      </c>
      <c r="K700">
        <f t="shared" si="12"/>
        <v>4</v>
      </c>
    </row>
    <row r="701" spans="2:11" x14ac:dyDescent="0.35">
      <c r="B701" t="s">
        <v>697</v>
      </c>
      <c r="C701">
        <v>7</v>
      </c>
      <c r="D701">
        <v>1</v>
      </c>
      <c r="E701">
        <v>0</v>
      </c>
      <c r="F701">
        <v>0</v>
      </c>
      <c r="G701">
        <v>1</v>
      </c>
      <c r="H701">
        <v>0</v>
      </c>
      <c r="I701">
        <v>3</v>
      </c>
      <c r="J701">
        <v>3</v>
      </c>
      <c r="K701">
        <f t="shared" si="12"/>
        <v>3</v>
      </c>
    </row>
    <row r="702" spans="2:11" x14ac:dyDescent="0.35">
      <c r="B702" t="s">
        <v>698</v>
      </c>
      <c r="C702">
        <v>6</v>
      </c>
      <c r="D702">
        <v>2</v>
      </c>
      <c r="E702">
        <v>0</v>
      </c>
      <c r="F702">
        <v>1</v>
      </c>
      <c r="G702">
        <v>0</v>
      </c>
      <c r="H702">
        <v>0</v>
      </c>
      <c r="I702">
        <v>1</v>
      </c>
      <c r="J702">
        <v>3</v>
      </c>
      <c r="K702">
        <f t="shared" si="12"/>
        <v>3</v>
      </c>
    </row>
    <row r="703" spans="2:11" x14ac:dyDescent="0.35">
      <c r="B703" t="s">
        <v>699</v>
      </c>
      <c r="C703">
        <v>31</v>
      </c>
      <c r="D703">
        <v>3</v>
      </c>
      <c r="E703">
        <v>3</v>
      </c>
      <c r="F703">
        <v>0</v>
      </c>
      <c r="G703">
        <v>0</v>
      </c>
      <c r="H703">
        <v>1</v>
      </c>
      <c r="I703">
        <v>10</v>
      </c>
      <c r="J703">
        <v>15</v>
      </c>
      <c r="K703">
        <f t="shared" si="12"/>
        <v>4</v>
      </c>
    </row>
    <row r="704" spans="2:11" x14ac:dyDescent="0.35">
      <c r="B704" t="s">
        <v>700</v>
      </c>
      <c r="C704">
        <v>51</v>
      </c>
      <c r="D704">
        <v>3</v>
      </c>
      <c r="E704">
        <v>0</v>
      </c>
      <c r="F704">
        <v>0</v>
      </c>
      <c r="G704">
        <v>7</v>
      </c>
      <c r="H704">
        <v>8</v>
      </c>
      <c r="I704">
        <v>13</v>
      </c>
      <c r="J704">
        <v>21</v>
      </c>
      <c r="K704">
        <f t="shared" si="12"/>
        <v>4</v>
      </c>
    </row>
    <row r="705" spans="2:11" x14ac:dyDescent="0.35">
      <c r="B705" t="s">
        <v>701</v>
      </c>
      <c r="C705">
        <v>65</v>
      </c>
      <c r="D705">
        <v>3</v>
      </c>
      <c r="E705">
        <v>2</v>
      </c>
      <c r="F705">
        <v>1</v>
      </c>
      <c r="G705">
        <v>3</v>
      </c>
      <c r="H705">
        <v>0</v>
      </c>
      <c r="I705">
        <v>2</v>
      </c>
      <c r="J705">
        <v>55</v>
      </c>
      <c r="K705">
        <f t="shared" si="12"/>
        <v>5</v>
      </c>
    </row>
    <row r="706" spans="2:11" x14ac:dyDescent="0.35">
      <c r="B706" t="s">
        <v>702</v>
      </c>
      <c r="C706">
        <v>8</v>
      </c>
      <c r="D706">
        <v>1</v>
      </c>
      <c r="E706">
        <v>0</v>
      </c>
      <c r="F706">
        <v>0</v>
      </c>
      <c r="G706">
        <v>0</v>
      </c>
      <c r="H706">
        <v>1</v>
      </c>
      <c r="I706">
        <v>5</v>
      </c>
      <c r="J706">
        <v>2</v>
      </c>
      <c r="K706">
        <f t="shared" si="12"/>
        <v>3</v>
      </c>
    </row>
    <row r="707" spans="2:11" x14ac:dyDescent="0.35">
      <c r="B707" t="s">
        <v>703</v>
      </c>
      <c r="C707">
        <v>14</v>
      </c>
      <c r="D707">
        <v>4</v>
      </c>
      <c r="E707">
        <v>0</v>
      </c>
      <c r="F707">
        <v>0</v>
      </c>
      <c r="G707">
        <v>0</v>
      </c>
      <c r="H707">
        <v>0</v>
      </c>
      <c r="I707">
        <v>7</v>
      </c>
      <c r="J707">
        <v>4</v>
      </c>
      <c r="K707">
        <f t="shared" si="12"/>
        <v>2</v>
      </c>
    </row>
    <row r="708" spans="2:11" x14ac:dyDescent="0.35">
      <c r="B708" t="s">
        <v>704</v>
      </c>
      <c r="C708">
        <v>29</v>
      </c>
      <c r="D708">
        <v>4</v>
      </c>
      <c r="E708">
        <v>0</v>
      </c>
      <c r="F708">
        <v>0</v>
      </c>
      <c r="G708">
        <v>2</v>
      </c>
      <c r="H708">
        <v>0</v>
      </c>
      <c r="I708">
        <v>19</v>
      </c>
      <c r="J708">
        <v>5</v>
      </c>
      <c r="K708">
        <f t="shared" si="12"/>
        <v>3</v>
      </c>
    </row>
    <row r="709" spans="2:11" x14ac:dyDescent="0.35">
      <c r="B709" t="s">
        <v>705</v>
      </c>
      <c r="C709">
        <v>35</v>
      </c>
      <c r="D709">
        <v>0</v>
      </c>
      <c r="E709">
        <v>0</v>
      </c>
      <c r="F709">
        <v>0</v>
      </c>
      <c r="G709">
        <v>1</v>
      </c>
      <c r="H709">
        <v>7</v>
      </c>
      <c r="I709">
        <v>5</v>
      </c>
      <c r="J709">
        <v>23</v>
      </c>
      <c r="K709">
        <f t="shared" si="12"/>
        <v>3</v>
      </c>
    </row>
    <row r="710" spans="2:11" x14ac:dyDescent="0.35">
      <c r="B710" t="s">
        <v>706</v>
      </c>
      <c r="C710">
        <v>53</v>
      </c>
      <c r="D710">
        <v>0</v>
      </c>
      <c r="E710">
        <v>1</v>
      </c>
      <c r="F710">
        <v>1</v>
      </c>
      <c r="G710">
        <v>1</v>
      </c>
      <c r="H710">
        <v>2</v>
      </c>
      <c r="I710">
        <v>9</v>
      </c>
      <c r="J710">
        <v>40</v>
      </c>
      <c r="K710">
        <f t="shared" si="12"/>
        <v>5</v>
      </c>
    </row>
    <row r="711" spans="2:11" x14ac:dyDescent="0.35">
      <c r="B711" t="s">
        <v>707</v>
      </c>
      <c r="C711">
        <v>25</v>
      </c>
      <c r="D711">
        <v>4</v>
      </c>
      <c r="E711">
        <v>0</v>
      </c>
      <c r="F711">
        <v>0</v>
      </c>
      <c r="G711">
        <v>0</v>
      </c>
      <c r="H711">
        <v>1</v>
      </c>
      <c r="I711">
        <v>15</v>
      </c>
      <c r="J711">
        <v>6</v>
      </c>
      <c r="K711">
        <f t="shared" si="12"/>
        <v>3</v>
      </c>
    </row>
    <row r="712" spans="2:11" x14ac:dyDescent="0.35">
      <c r="B712" t="s">
        <v>708</v>
      </c>
      <c r="C712">
        <v>11</v>
      </c>
      <c r="D712">
        <v>0</v>
      </c>
      <c r="E712">
        <v>0</v>
      </c>
      <c r="F712">
        <v>0</v>
      </c>
      <c r="G712">
        <v>3</v>
      </c>
      <c r="H712">
        <v>1</v>
      </c>
      <c r="I712">
        <v>3</v>
      </c>
      <c r="J712">
        <v>5</v>
      </c>
      <c r="K712">
        <f t="shared" si="12"/>
        <v>3</v>
      </c>
    </row>
    <row r="713" spans="2:11" x14ac:dyDescent="0.35">
      <c r="B713" t="s">
        <v>709</v>
      </c>
      <c r="C713">
        <v>6</v>
      </c>
      <c r="D713">
        <v>2</v>
      </c>
      <c r="E713">
        <v>0</v>
      </c>
      <c r="F713">
        <v>1</v>
      </c>
      <c r="G713">
        <v>0</v>
      </c>
      <c r="H713">
        <v>0</v>
      </c>
      <c r="I713">
        <v>3</v>
      </c>
      <c r="J713">
        <v>1</v>
      </c>
      <c r="K713">
        <f t="shared" si="12"/>
        <v>3</v>
      </c>
    </row>
    <row r="714" spans="2:11" x14ac:dyDescent="0.35">
      <c r="B714" t="s">
        <v>710</v>
      </c>
      <c r="C714">
        <v>23</v>
      </c>
      <c r="D714">
        <v>5</v>
      </c>
      <c r="E714">
        <v>0</v>
      </c>
      <c r="F714">
        <v>0</v>
      </c>
      <c r="G714">
        <v>1</v>
      </c>
      <c r="H714">
        <v>0</v>
      </c>
      <c r="I714">
        <v>12</v>
      </c>
      <c r="J714">
        <v>6</v>
      </c>
      <c r="K714">
        <f t="shared" si="12"/>
        <v>3</v>
      </c>
    </row>
    <row r="715" spans="2:11" x14ac:dyDescent="0.35">
      <c r="B715" t="s">
        <v>711</v>
      </c>
      <c r="C715">
        <v>20</v>
      </c>
      <c r="D715">
        <v>4</v>
      </c>
      <c r="E715">
        <v>0</v>
      </c>
      <c r="F715">
        <v>0</v>
      </c>
      <c r="G715">
        <v>0</v>
      </c>
      <c r="H715">
        <v>1</v>
      </c>
      <c r="I715">
        <v>10</v>
      </c>
      <c r="J715">
        <v>6</v>
      </c>
      <c r="K715">
        <f t="shared" si="12"/>
        <v>3</v>
      </c>
    </row>
    <row r="716" spans="2:11" x14ac:dyDescent="0.35">
      <c r="B716" t="s">
        <v>712</v>
      </c>
      <c r="C716">
        <v>106</v>
      </c>
      <c r="D716">
        <v>10</v>
      </c>
      <c r="E716">
        <v>3</v>
      </c>
      <c r="F716">
        <v>1</v>
      </c>
      <c r="G716">
        <v>9</v>
      </c>
      <c r="H716">
        <v>7</v>
      </c>
      <c r="I716">
        <v>34</v>
      </c>
      <c r="J716">
        <v>43</v>
      </c>
      <c r="K716">
        <f t="shared" ref="K716:K779" si="13">COUNTIF(D716:I716, "&gt;0")</f>
        <v>6</v>
      </c>
    </row>
    <row r="717" spans="2:11" x14ac:dyDescent="0.35">
      <c r="B717" t="s">
        <v>713</v>
      </c>
      <c r="C717">
        <v>32</v>
      </c>
      <c r="D717">
        <v>3</v>
      </c>
      <c r="E717">
        <v>0</v>
      </c>
      <c r="F717">
        <v>1</v>
      </c>
      <c r="G717">
        <v>4</v>
      </c>
      <c r="H717">
        <v>2</v>
      </c>
      <c r="I717">
        <v>11</v>
      </c>
      <c r="J717">
        <v>12</v>
      </c>
      <c r="K717">
        <f t="shared" si="13"/>
        <v>5</v>
      </c>
    </row>
    <row r="718" spans="2:11" x14ac:dyDescent="0.35">
      <c r="B718" t="s">
        <v>714</v>
      </c>
      <c r="C718">
        <v>37</v>
      </c>
      <c r="D718">
        <v>3</v>
      </c>
      <c r="E718">
        <v>0</v>
      </c>
      <c r="F718">
        <v>1</v>
      </c>
      <c r="G718">
        <v>5</v>
      </c>
      <c r="H718">
        <v>3</v>
      </c>
      <c r="I718">
        <v>4</v>
      </c>
      <c r="J718">
        <v>22</v>
      </c>
      <c r="K718">
        <f t="shared" si="13"/>
        <v>5</v>
      </c>
    </row>
    <row r="719" spans="2:11" x14ac:dyDescent="0.35">
      <c r="B719" t="s">
        <v>715</v>
      </c>
      <c r="C719">
        <v>31</v>
      </c>
      <c r="D719">
        <v>7</v>
      </c>
      <c r="E719">
        <v>0</v>
      </c>
      <c r="F719">
        <v>0</v>
      </c>
      <c r="G719">
        <v>3</v>
      </c>
      <c r="H719">
        <v>1</v>
      </c>
      <c r="I719">
        <v>3</v>
      </c>
      <c r="J719">
        <v>18</v>
      </c>
      <c r="K719">
        <f t="shared" si="13"/>
        <v>4</v>
      </c>
    </row>
    <row r="720" spans="2:11" x14ac:dyDescent="0.35">
      <c r="B720" t="s">
        <v>716</v>
      </c>
      <c r="C720">
        <v>61</v>
      </c>
      <c r="D720">
        <v>6</v>
      </c>
      <c r="E720">
        <v>3</v>
      </c>
      <c r="F720">
        <v>1</v>
      </c>
      <c r="G720">
        <v>5</v>
      </c>
      <c r="H720">
        <v>1</v>
      </c>
      <c r="I720">
        <v>16</v>
      </c>
      <c r="J720">
        <v>30</v>
      </c>
      <c r="K720">
        <f t="shared" si="13"/>
        <v>6</v>
      </c>
    </row>
    <row r="721" spans="2:11" x14ac:dyDescent="0.35">
      <c r="B721" t="s">
        <v>717</v>
      </c>
      <c r="C721">
        <v>14</v>
      </c>
      <c r="D721">
        <v>4</v>
      </c>
      <c r="E721">
        <v>0</v>
      </c>
      <c r="F721">
        <v>0</v>
      </c>
      <c r="G721">
        <v>0</v>
      </c>
      <c r="H721">
        <v>0</v>
      </c>
      <c r="I721">
        <v>7</v>
      </c>
      <c r="J721">
        <v>4</v>
      </c>
      <c r="K721">
        <f t="shared" si="13"/>
        <v>2</v>
      </c>
    </row>
    <row r="722" spans="2:11" x14ac:dyDescent="0.35">
      <c r="B722" t="s">
        <v>718</v>
      </c>
      <c r="C722">
        <v>14</v>
      </c>
      <c r="D722">
        <v>4</v>
      </c>
      <c r="E722">
        <v>0</v>
      </c>
      <c r="F722">
        <v>0</v>
      </c>
      <c r="G722">
        <v>0</v>
      </c>
      <c r="H722">
        <v>0</v>
      </c>
      <c r="I722">
        <v>7</v>
      </c>
      <c r="J722">
        <v>4</v>
      </c>
      <c r="K722">
        <f t="shared" si="13"/>
        <v>2</v>
      </c>
    </row>
    <row r="723" spans="2:11" x14ac:dyDescent="0.35">
      <c r="B723" t="s">
        <v>719</v>
      </c>
      <c r="C723">
        <v>25</v>
      </c>
      <c r="D723">
        <v>3</v>
      </c>
      <c r="E723">
        <v>0</v>
      </c>
      <c r="F723">
        <v>0</v>
      </c>
      <c r="G723">
        <v>1</v>
      </c>
      <c r="H723">
        <v>1</v>
      </c>
      <c r="I723">
        <v>11</v>
      </c>
      <c r="J723">
        <v>10</v>
      </c>
      <c r="K723">
        <f t="shared" si="13"/>
        <v>4</v>
      </c>
    </row>
    <row r="724" spans="2:11" x14ac:dyDescent="0.35">
      <c r="B724" t="s">
        <v>720</v>
      </c>
      <c r="C724">
        <v>41</v>
      </c>
      <c r="D724">
        <v>9</v>
      </c>
      <c r="E724">
        <v>0</v>
      </c>
      <c r="F724">
        <v>0</v>
      </c>
      <c r="G724">
        <v>0</v>
      </c>
      <c r="H724">
        <v>0</v>
      </c>
      <c r="I724">
        <v>19</v>
      </c>
      <c r="J724">
        <v>14</v>
      </c>
      <c r="K724">
        <f t="shared" si="13"/>
        <v>2</v>
      </c>
    </row>
    <row r="725" spans="2:11" x14ac:dyDescent="0.35">
      <c r="B725" t="s">
        <v>721</v>
      </c>
      <c r="C725">
        <v>32</v>
      </c>
      <c r="D725">
        <v>4</v>
      </c>
      <c r="E725">
        <v>0</v>
      </c>
      <c r="F725">
        <v>0</v>
      </c>
      <c r="G725">
        <v>1</v>
      </c>
      <c r="H725">
        <v>1</v>
      </c>
      <c r="I725">
        <v>19</v>
      </c>
      <c r="J725">
        <v>8</v>
      </c>
      <c r="K725">
        <f t="shared" si="13"/>
        <v>4</v>
      </c>
    </row>
    <row r="726" spans="2:11" x14ac:dyDescent="0.35">
      <c r="B726" t="s">
        <v>722</v>
      </c>
      <c r="C726">
        <v>35</v>
      </c>
      <c r="D726">
        <v>3</v>
      </c>
      <c r="E726">
        <v>0</v>
      </c>
      <c r="F726">
        <v>0</v>
      </c>
      <c r="G726">
        <v>0</v>
      </c>
      <c r="H726">
        <v>1</v>
      </c>
      <c r="I726">
        <v>11</v>
      </c>
      <c r="J726">
        <v>21</v>
      </c>
      <c r="K726">
        <f t="shared" si="13"/>
        <v>3</v>
      </c>
    </row>
    <row r="727" spans="2:11" x14ac:dyDescent="0.35">
      <c r="B727" t="s">
        <v>723</v>
      </c>
      <c r="C727">
        <v>65</v>
      </c>
      <c r="D727">
        <v>1</v>
      </c>
      <c r="E727">
        <v>0</v>
      </c>
      <c r="F727">
        <v>0</v>
      </c>
      <c r="G727">
        <v>0</v>
      </c>
      <c r="H727">
        <v>2</v>
      </c>
      <c r="I727">
        <v>7</v>
      </c>
      <c r="J727">
        <v>56</v>
      </c>
      <c r="K727">
        <f t="shared" si="13"/>
        <v>3</v>
      </c>
    </row>
    <row r="728" spans="2:11" x14ac:dyDescent="0.35">
      <c r="B728" t="s">
        <v>724</v>
      </c>
      <c r="C728">
        <v>8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3</v>
      </c>
      <c r="J728">
        <v>5</v>
      </c>
      <c r="K728">
        <f t="shared" si="13"/>
        <v>2</v>
      </c>
    </row>
    <row r="729" spans="2:11" x14ac:dyDescent="0.35">
      <c r="B729" t="s">
        <v>725</v>
      </c>
      <c r="C729">
        <v>108</v>
      </c>
      <c r="D729">
        <v>7</v>
      </c>
      <c r="E729">
        <v>0</v>
      </c>
      <c r="F729">
        <v>1</v>
      </c>
      <c r="G729">
        <v>5</v>
      </c>
      <c r="H729">
        <v>11</v>
      </c>
      <c r="I729">
        <v>12</v>
      </c>
      <c r="J729">
        <v>73</v>
      </c>
      <c r="K729">
        <f t="shared" si="13"/>
        <v>5</v>
      </c>
    </row>
    <row r="730" spans="2:11" x14ac:dyDescent="0.35">
      <c r="B730" t="s">
        <v>726</v>
      </c>
      <c r="C730">
        <v>30</v>
      </c>
      <c r="D730">
        <v>5</v>
      </c>
      <c r="E730">
        <v>0</v>
      </c>
      <c r="F730">
        <v>0</v>
      </c>
      <c r="G730">
        <v>3</v>
      </c>
      <c r="H730">
        <v>1</v>
      </c>
      <c r="I730">
        <v>10</v>
      </c>
      <c r="J730">
        <v>12</v>
      </c>
      <c r="K730">
        <f t="shared" si="13"/>
        <v>4</v>
      </c>
    </row>
    <row r="731" spans="2:11" x14ac:dyDescent="0.35">
      <c r="B731" t="s">
        <v>727</v>
      </c>
      <c r="C731">
        <v>18</v>
      </c>
      <c r="D731">
        <v>2</v>
      </c>
      <c r="E731">
        <v>0</v>
      </c>
      <c r="F731">
        <v>1</v>
      </c>
      <c r="G731">
        <v>0</v>
      </c>
      <c r="H731">
        <v>0</v>
      </c>
      <c r="I731">
        <v>0</v>
      </c>
      <c r="J731">
        <v>16</v>
      </c>
      <c r="K731">
        <f t="shared" si="13"/>
        <v>2</v>
      </c>
    </row>
    <row r="732" spans="2:11" x14ac:dyDescent="0.35">
      <c r="B732" t="s">
        <v>728</v>
      </c>
      <c r="C732">
        <v>27</v>
      </c>
      <c r="D732">
        <v>0</v>
      </c>
      <c r="E732">
        <v>0</v>
      </c>
      <c r="F732">
        <v>0</v>
      </c>
      <c r="G732">
        <v>0</v>
      </c>
      <c r="H732">
        <v>4</v>
      </c>
      <c r="I732">
        <v>13</v>
      </c>
      <c r="J732">
        <v>11</v>
      </c>
      <c r="K732">
        <f t="shared" si="13"/>
        <v>2</v>
      </c>
    </row>
    <row r="733" spans="2:11" x14ac:dyDescent="0.35">
      <c r="B733" t="s">
        <v>729</v>
      </c>
      <c r="C733">
        <v>78</v>
      </c>
      <c r="D733">
        <v>5</v>
      </c>
      <c r="E733">
        <v>0</v>
      </c>
      <c r="F733">
        <v>1</v>
      </c>
      <c r="G733">
        <v>10</v>
      </c>
      <c r="H733">
        <v>10</v>
      </c>
      <c r="I733">
        <v>11</v>
      </c>
      <c r="J733">
        <v>42</v>
      </c>
      <c r="K733">
        <f t="shared" si="13"/>
        <v>5</v>
      </c>
    </row>
    <row r="734" spans="2:11" x14ac:dyDescent="0.35">
      <c r="B734" t="s">
        <v>730</v>
      </c>
      <c r="C734">
        <v>27</v>
      </c>
      <c r="D734">
        <v>3</v>
      </c>
      <c r="E734">
        <v>0</v>
      </c>
      <c r="F734">
        <v>0</v>
      </c>
      <c r="G734">
        <v>6</v>
      </c>
      <c r="H734">
        <v>5</v>
      </c>
      <c r="I734">
        <v>5</v>
      </c>
      <c r="J734">
        <v>9</v>
      </c>
      <c r="K734">
        <f t="shared" si="13"/>
        <v>4</v>
      </c>
    </row>
    <row r="735" spans="2:11" x14ac:dyDescent="0.35">
      <c r="B735" t="s">
        <v>731</v>
      </c>
      <c r="C735">
        <v>8</v>
      </c>
      <c r="D735">
        <v>0</v>
      </c>
      <c r="E735">
        <v>0</v>
      </c>
      <c r="F735">
        <v>0</v>
      </c>
      <c r="G735">
        <v>0</v>
      </c>
      <c r="H735">
        <v>2</v>
      </c>
      <c r="I735">
        <v>3</v>
      </c>
      <c r="J735">
        <v>4</v>
      </c>
      <c r="K735">
        <f t="shared" si="13"/>
        <v>2</v>
      </c>
    </row>
    <row r="736" spans="2:11" x14ac:dyDescent="0.35">
      <c r="B736" t="s">
        <v>732</v>
      </c>
      <c r="C736">
        <v>10</v>
      </c>
      <c r="D736">
        <v>1</v>
      </c>
      <c r="E736">
        <v>0</v>
      </c>
      <c r="F736">
        <v>0</v>
      </c>
      <c r="G736">
        <v>0</v>
      </c>
      <c r="H736">
        <v>0</v>
      </c>
      <c r="I736">
        <v>3</v>
      </c>
      <c r="J736">
        <v>7</v>
      </c>
      <c r="K736">
        <f t="shared" si="13"/>
        <v>2</v>
      </c>
    </row>
    <row r="737" spans="2:11" x14ac:dyDescent="0.35">
      <c r="B737" t="s">
        <v>733</v>
      </c>
      <c r="C737">
        <v>73</v>
      </c>
      <c r="D737">
        <v>6</v>
      </c>
      <c r="E737">
        <v>0</v>
      </c>
      <c r="F737">
        <v>2</v>
      </c>
      <c r="G737">
        <v>1</v>
      </c>
      <c r="H737">
        <v>5</v>
      </c>
      <c r="I737">
        <v>18</v>
      </c>
      <c r="J737">
        <v>42</v>
      </c>
      <c r="K737">
        <f t="shared" si="13"/>
        <v>5</v>
      </c>
    </row>
    <row r="738" spans="2:11" x14ac:dyDescent="0.35">
      <c r="B738" t="s">
        <v>734</v>
      </c>
      <c r="C738">
        <v>50</v>
      </c>
      <c r="D738">
        <v>2</v>
      </c>
      <c r="E738">
        <v>0</v>
      </c>
      <c r="F738">
        <v>0</v>
      </c>
      <c r="G738">
        <v>3</v>
      </c>
      <c r="H738">
        <v>1</v>
      </c>
      <c r="I738">
        <v>17</v>
      </c>
      <c r="J738">
        <v>28</v>
      </c>
      <c r="K738">
        <f t="shared" si="13"/>
        <v>4</v>
      </c>
    </row>
    <row r="739" spans="2:11" x14ac:dyDescent="0.35">
      <c r="B739" t="s">
        <v>735</v>
      </c>
      <c r="C739">
        <v>15</v>
      </c>
      <c r="D739">
        <v>2</v>
      </c>
      <c r="E739">
        <v>0</v>
      </c>
      <c r="F739">
        <v>2</v>
      </c>
      <c r="G739">
        <v>0</v>
      </c>
      <c r="H739">
        <v>0</v>
      </c>
      <c r="I739">
        <v>7</v>
      </c>
      <c r="J739">
        <v>5</v>
      </c>
      <c r="K739">
        <f t="shared" si="13"/>
        <v>3</v>
      </c>
    </row>
    <row r="740" spans="2:11" x14ac:dyDescent="0.35">
      <c r="B740" t="s">
        <v>736</v>
      </c>
      <c r="C740">
        <v>15</v>
      </c>
      <c r="D740">
        <v>2</v>
      </c>
      <c r="E740">
        <v>0</v>
      </c>
      <c r="F740">
        <v>2</v>
      </c>
      <c r="G740">
        <v>0</v>
      </c>
      <c r="H740">
        <v>0</v>
      </c>
      <c r="I740">
        <v>7</v>
      </c>
      <c r="J740">
        <v>5</v>
      </c>
      <c r="K740">
        <f t="shared" si="13"/>
        <v>3</v>
      </c>
    </row>
    <row r="741" spans="2:11" x14ac:dyDescent="0.35">
      <c r="B741" t="s">
        <v>737</v>
      </c>
      <c r="C741">
        <v>8</v>
      </c>
      <c r="D741">
        <v>0</v>
      </c>
      <c r="E741">
        <v>0</v>
      </c>
      <c r="F741">
        <v>2</v>
      </c>
      <c r="G741">
        <v>0</v>
      </c>
      <c r="H741">
        <v>1</v>
      </c>
      <c r="I741">
        <v>5</v>
      </c>
      <c r="J741">
        <v>1</v>
      </c>
      <c r="K741">
        <f t="shared" si="13"/>
        <v>3</v>
      </c>
    </row>
    <row r="742" spans="2:11" x14ac:dyDescent="0.35">
      <c r="B742" t="s">
        <v>738</v>
      </c>
      <c r="C742">
        <v>8</v>
      </c>
      <c r="D742">
        <v>0</v>
      </c>
      <c r="E742">
        <v>0</v>
      </c>
      <c r="F742">
        <v>2</v>
      </c>
      <c r="G742">
        <v>0</v>
      </c>
      <c r="H742">
        <v>0</v>
      </c>
      <c r="I742">
        <v>5</v>
      </c>
      <c r="J742">
        <v>2</v>
      </c>
      <c r="K742">
        <f t="shared" si="13"/>
        <v>2</v>
      </c>
    </row>
    <row r="743" spans="2:11" x14ac:dyDescent="0.35">
      <c r="B743" t="s">
        <v>739</v>
      </c>
      <c r="C743">
        <v>8</v>
      </c>
      <c r="D743">
        <v>0</v>
      </c>
      <c r="E743">
        <v>0</v>
      </c>
      <c r="F743">
        <v>2</v>
      </c>
      <c r="G743">
        <v>0</v>
      </c>
      <c r="H743">
        <v>0</v>
      </c>
      <c r="I743">
        <v>5</v>
      </c>
      <c r="J743">
        <v>2</v>
      </c>
      <c r="K743">
        <f t="shared" si="13"/>
        <v>2</v>
      </c>
    </row>
    <row r="744" spans="2:11" x14ac:dyDescent="0.35">
      <c r="B744" t="s">
        <v>740</v>
      </c>
      <c r="C744">
        <v>7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6</v>
      </c>
      <c r="J744">
        <v>2</v>
      </c>
      <c r="K744">
        <f t="shared" si="13"/>
        <v>1</v>
      </c>
    </row>
    <row r="745" spans="2:11" x14ac:dyDescent="0.35">
      <c r="B745" t="s">
        <v>741</v>
      </c>
      <c r="C745">
        <v>6</v>
      </c>
      <c r="D745">
        <v>1</v>
      </c>
      <c r="E745">
        <v>0</v>
      </c>
      <c r="F745">
        <v>0</v>
      </c>
      <c r="G745">
        <v>0</v>
      </c>
      <c r="H745">
        <v>1</v>
      </c>
      <c r="I745">
        <v>4</v>
      </c>
      <c r="J745">
        <v>1</v>
      </c>
      <c r="K745">
        <f t="shared" si="13"/>
        <v>3</v>
      </c>
    </row>
    <row r="746" spans="2:11" x14ac:dyDescent="0.35">
      <c r="B746" t="s">
        <v>742</v>
      </c>
      <c r="C746">
        <v>6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4</v>
      </c>
      <c r="J746">
        <v>3</v>
      </c>
      <c r="K746">
        <f t="shared" si="13"/>
        <v>1</v>
      </c>
    </row>
    <row r="747" spans="2:11" x14ac:dyDescent="0.35">
      <c r="B747" t="s">
        <v>743</v>
      </c>
      <c r="C747">
        <v>12</v>
      </c>
      <c r="D747">
        <v>1</v>
      </c>
      <c r="E747">
        <v>0</v>
      </c>
      <c r="F747">
        <v>1</v>
      </c>
      <c r="G747">
        <v>0</v>
      </c>
      <c r="H747">
        <v>2</v>
      </c>
      <c r="I747">
        <v>6</v>
      </c>
      <c r="J747">
        <v>3</v>
      </c>
      <c r="K747">
        <f t="shared" si="13"/>
        <v>4</v>
      </c>
    </row>
    <row r="748" spans="2:11" x14ac:dyDescent="0.35">
      <c r="B748" t="s">
        <v>744</v>
      </c>
      <c r="C748">
        <v>6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4</v>
      </c>
      <c r="J748">
        <v>3</v>
      </c>
      <c r="K748">
        <f t="shared" si="13"/>
        <v>1</v>
      </c>
    </row>
    <row r="749" spans="2:11" x14ac:dyDescent="0.35">
      <c r="B749" t="s">
        <v>745</v>
      </c>
      <c r="C749">
        <v>14</v>
      </c>
      <c r="D749">
        <v>6</v>
      </c>
      <c r="E749">
        <v>0</v>
      </c>
      <c r="F749">
        <v>0</v>
      </c>
      <c r="G749">
        <v>0</v>
      </c>
      <c r="H749">
        <v>1</v>
      </c>
      <c r="I749">
        <v>4</v>
      </c>
      <c r="J749">
        <v>4</v>
      </c>
      <c r="K749">
        <f t="shared" si="13"/>
        <v>3</v>
      </c>
    </row>
    <row r="750" spans="2:11" x14ac:dyDescent="0.35">
      <c r="B750" t="s">
        <v>746</v>
      </c>
      <c r="C750">
        <v>10</v>
      </c>
      <c r="D750">
        <v>0</v>
      </c>
      <c r="E750">
        <v>0</v>
      </c>
      <c r="F750">
        <v>2</v>
      </c>
      <c r="G750">
        <v>0</v>
      </c>
      <c r="H750">
        <v>0</v>
      </c>
      <c r="I750">
        <v>5</v>
      </c>
      <c r="J750">
        <v>4</v>
      </c>
      <c r="K750">
        <f t="shared" si="13"/>
        <v>2</v>
      </c>
    </row>
    <row r="751" spans="2:11" x14ac:dyDescent="0.35">
      <c r="B751" t="s">
        <v>747</v>
      </c>
      <c r="C751">
        <v>6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5</v>
      </c>
      <c r="J751">
        <v>2</v>
      </c>
      <c r="K751">
        <f t="shared" si="13"/>
        <v>1</v>
      </c>
    </row>
    <row r="752" spans="2:11" x14ac:dyDescent="0.35">
      <c r="B752" t="s">
        <v>748</v>
      </c>
      <c r="C752">
        <v>6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5</v>
      </c>
      <c r="J752">
        <v>2</v>
      </c>
      <c r="K752">
        <f t="shared" si="13"/>
        <v>1</v>
      </c>
    </row>
    <row r="753" spans="2:11" x14ac:dyDescent="0.35">
      <c r="B753" t="s">
        <v>749</v>
      </c>
      <c r="C753">
        <v>6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4</v>
      </c>
      <c r="J753">
        <v>3</v>
      </c>
      <c r="K753">
        <f t="shared" si="13"/>
        <v>1</v>
      </c>
    </row>
    <row r="754" spans="2:11" x14ac:dyDescent="0.35">
      <c r="B754" t="s">
        <v>750</v>
      </c>
      <c r="C754">
        <v>8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5</v>
      </c>
      <c r="J754">
        <v>4</v>
      </c>
      <c r="K754">
        <f t="shared" si="13"/>
        <v>1</v>
      </c>
    </row>
    <row r="755" spans="2:11" x14ac:dyDescent="0.35">
      <c r="B755" t="s">
        <v>751</v>
      </c>
      <c r="C755">
        <v>12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</v>
      </c>
      <c r="J755">
        <v>2</v>
      </c>
      <c r="K755">
        <f t="shared" si="13"/>
        <v>3</v>
      </c>
    </row>
    <row r="756" spans="2:11" x14ac:dyDescent="0.35">
      <c r="B756" t="s">
        <v>752</v>
      </c>
      <c r="C756">
        <v>7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</v>
      </c>
      <c r="J756">
        <v>4</v>
      </c>
      <c r="K756">
        <f t="shared" si="13"/>
        <v>1</v>
      </c>
    </row>
    <row r="757" spans="2:11" x14ac:dyDescent="0.35">
      <c r="B757" t="s">
        <v>753</v>
      </c>
      <c r="C757">
        <v>25</v>
      </c>
      <c r="D757">
        <v>7</v>
      </c>
      <c r="E757">
        <v>0</v>
      </c>
      <c r="F757">
        <v>2</v>
      </c>
      <c r="G757">
        <v>1</v>
      </c>
      <c r="H757">
        <v>3</v>
      </c>
      <c r="I757">
        <v>6</v>
      </c>
      <c r="J757">
        <v>7</v>
      </c>
      <c r="K757">
        <f t="shared" si="13"/>
        <v>5</v>
      </c>
    </row>
    <row r="758" spans="2:11" x14ac:dyDescent="0.35">
      <c r="B758" t="s">
        <v>754</v>
      </c>
      <c r="C758">
        <v>11</v>
      </c>
      <c r="D758">
        <v>0</v>
      </c>
      <c r="E758">
        <v>0</v>
      </c>
      <c r="F758">
        <v>0</v>
      </c>
      <c r="G758">
        <v>0</v>
      </c>
      <c r="H758">
        <v>1</v>
      </c>
      <c r="I758">
        <v>7</v>
      </c>
      <c r="J758">
        <v>4</v>
      </c>
      <c r="K758">
        <f t="shared" si="13"/>
        <v>2</v>
      </c>
    </row>
    <row r="759" spans="2:11" x14ac:dyDescent="0.35">
      <c r="B759" t="s">
        <v>755</v>
      </c>
      <c r="C759">
        <v>12</v>
      </c>
      <c r="D759">
        <v>0</v>
      </c>
      <c r="E759">
        <v>0</v>
      </c>
      <c r="F759">
        <v>1</v>
      </c>
      <c r="G759">
        <v>0</v>
      </c>
      <c r="H759">
        <v>5</v>
      </c>
      <c r="I759">
        <v>5</v>
      </c>
      <c r="J759">
        <v>2</v>
      </c>
      <c r="K759">
        <f t="shared" si="13"/>
        <v>3</v>
      </c>
    </row>
    <row r="760" spans="2:11" x14ac:dyDescent="0.35">
      <c r="B760" t="s">
        <v>756</v>
      </c>
      <c r="C760">
        <v>81</v>
      </c>
      <c r="D760">
        <v>1</v>
      </c>
      <c r="E760">
        <v>0</v>
      </c>
      <c r="F760">
        <v>0</v>
      </c>
      <c r="G760">
        <v>9</v>
      </c>
      <c r="H760">
        <v>10</v>
      </c>
      <c r="I760">
        <v>33</v>
      </c>
      <c r="J760">
        <v>29</v>
      </c>
      <c r="K760">
        <f t="shared" si="13"/>
        <v>4</v>
      </c>
    </row>
    <row r="761" spans="2:11" x14ac:dyDescent="0.35">
      <c r="B761" t="s">
        <v>757</v>
      </c>
      <c r="C761">
        <v>12</v>
      </c>
      <c r="D761">
        <v>2</v>
      </c>
      <c r="E761">
        <v>0</v>
      </c>
      <c r="F761">
        <v>0</v>
      </c>
      <c r="G761">
        <v>0</v>
      </c>
      <c r="H761">
        <v>0</v>
      </c>
      <c r="I761">
        <v>9</v>
      </c>
      <c r="J761">
        <v>2</v>
      </c>
      <c r="K761">
        <f t="shared" si="13"/>
        <v>2</v>
      </c>
    </row>
    <row r="762" spans="2:11" x14ac:dyDescent="0.35">
      <c r="B762" t="s">
        <v>758</v>
      </c>
      <c r="C762">
        <v>6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4</v>
      </c>
      <c r="J762">
        <v>3</v>
      </c>
      <c r="K762">
        <f t="shared" si="13"/>
        <v>1</v>
      </c>
    </row>
    <row r="763" spans="2:11" x14ac:dyDescent="0.35">
      <c r="B763" t="s">
        <v>759</v>
      </c>
      <c r="C763">
        <v>6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4</v>
      </c>
      <c r="J763">
        <v>3</v>
      </c>
      <c r="K763">
        <f t="shared" si="13"/>
        <v>1</v>
      </c>
    </row>
    <row r="764" spans="2:11" x14ac:dyDescent="0.35">
      <c r="B764" t="s">
        <v>760</v>
      </c>
      <c r="C764">
        <v>47</v>
      </c>
      <c r="D764">
        <v>10</v>
      </c>
      <c r="E764">
        <v>0</v>
      </c>
      <c r="F764">
        <v>2</v>
      </c>
      <c r="G764">
        <v>1</v>
      </c>
      <c r="H764">
        <v>2</v>
      </c>
      <c r="I764">
        <v>21</v>
      </c>
      <c r="J764">
        <v>12</v>
      </c>
      <c r="K764">
        <f t="shared" si="13"/>
        <v>5</v>
      </c>
    </row>
    <row r="765" spans="2:11" x14ac:dyDescent="0.35">
      <c r="B765" t="s">
        <v>761</v>
      </c>
      <c r="C765">
        <v>6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5</v>
      </c>
      <c r="J765">
        <v>2</v>
      </c>
      <c r="K765">
        <f t="shared" si="13"/>
        <v>1</v>
      </c>
    </row>
    <row r="766" spans="2:11" x14ac:dyDescent="0.35">
      <c r="B766" t="s">
        <v>762</v>
      </c>
      <c r="C766">
        <v>26</v>
      </c>
      <c r="D766">
        <v>1</v>
      </c>
      <c r="E766">
        <v>0</v>
      </c>
      <c r="F766">
        <v>0</v>
      </c>
      <c r="G766">
        <v>1</v>
      </c>
      <c r="H766">
        <v>1</v>
      </c>
      <c r="I766">
        <v>16</v>
      </c>
      <c r="J766">
        <v>8</v>
      </c>
      <c r="K766">
        <f t="shared" si="13"/>
        <v>4</v>
      </c>
    </row>
    <row r="767" spans="2:11" x14ac:dyDescent="0.35">
      <c r="B767" t="s">
        <v>763</v>
      </c>
      <c r="C767">
        <v>6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4</v>
      </c>
      <c r="J767">
        <v>3</v>
      </c>
      <c r="K767">
        <f t="shared" si="13"/>
        <v>1</v>
      </c>
    </row>
    <row r="768" spans="2:11" x14ac:dyDescent="0.35">
      <c r="B768" t="s">
        <v>764</v>
      </c>
      <c r="C768">
        <v>13</v>
      </c>
      <c r="D768">
        <v>2</v>
      </c>
      <c r="E768">
        <v>0</v>
      </c>
      <c r="F768">
        <v>0</v>
      </c>
      <c r="G768">
        <v>0</v>
      </c>
      <c r="H768">
        <v>1</v>
      </c>
      <c r="I768">
        <v>9</v>
      </c>
      <c r="J768">
        <v>2</v>
      </c>
      <c r="K768">
        <f t="shared" si="13"/>
        <v>3</v>
      </c>
    </row>
    <row r="769" spans="2:11" x14ac:dyDescent="0.35">
      <c r="B769" t="s">
        <v>765</v>
      </c>
      <c r="C769">
        <v>7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4</v>
      </c>
      <c r="J769">
        <v>4</v>
      </c>
      <c r="K769">
        <f t="shared" si="13"/>
        <v>1</v>
      </c>
    </row>
    <row r="770" spans="2:11" x14ac:dyDescent="0.35">
      <c r="B770" t="s">
        <v>766</v>
      </c>
      <c r="C770">
        <v>6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4</v>
      </c>
      <c r="J770">
        <v>3</v>
      </c>
      <c r="K770">
        <f t="shared" si="13"/>
        <v>1</v>
      </c>
    </row>
    <row r="771" spans="2:11" x14ac:dyDescent="0.35">
      <c r="B771" t="s">
        <v>767</v>
      </c>
      <c r="C771">
        <v>12</v>
      </c>
      <c r="D771">
        <v>2</v>
      </c>
      <c r="E771">
        <v>0</v>
      </c>
      <c r="F771">
        <v>0</v>
      </c>
      <c r="G771">
        <v>0</v>
      </c>
      <c r="H771">
        <v>0</v>
      </c>
      <c r="I771">
        <v>9</v>
      </c>
      <c r="J771">
        <v>2</v>
      </c>
      <c r="K771">
        <f t="shared" si="13"/>
        <v>2</v>
      </c>
    </row>
    <row r="772" spans="2:11" x14ac:dyDescent="0.35">
      <c r="B772" t="s">
        <v>768</v>
      </c>
      <c r="C772">
        <v>3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3</v>
      </c>
      <c r="J772">
        <v>1</v>
      </c>
      <c r="K772">
        <f t="shared" si="13"/>
        <v>1</v>
      </c>
    </row>
    <row r="773" spans="2:11" x14ac:dyDescent="0.35">
      <c r="B773" t="s">
        <v>769</v>
      </c>
      <c r="C773">
        <v>12</v>
      </c>
      <c r="D773">
        <v>1</v>
      </c>
      <c r="E773">
        <v>0</v>
      </c>
      <c r="F773">
        <v>0</v>
      </c>
      <c r="G773">
        <v>0</v>
      </c>
      <c r="H773">
        <v>1</v>
      </c>
      <c r="I773">
        <v>7</v>
      </c>
      <c r="J773">
        <v>4</v>
      </c>
      <c r="K773">
        <f t="shared" si="13"/>
        <v>3</v>
      </c>
    </row>
    <row r="774" spans="2:11" x14ac:dyDescent="0.35">
      <c r="B774" t="s">
        <v>770</v>
      </c>
      <c r="C774">
        <v>60</v>
      </c>
      <c r="D774">
        <v>5</v>
      </c>
      <c r="E774">
        <v>1</v>
      </c>
      <c r="F774">
        <v>0</v>
      </c>
      <c r="G774">
        <v>1</v>
      </c>
      <c r="H774">
        <v>3</v>
      </c>
      <c r="I774">
        <v>24</v>
      </c>
      <c r="J774">
        <v>27</v>
      </c>
      <c r="K774">
        <f t="shared" si="13"/>
        <v>5</v>
      </c>
    </row>
    <row r="775" spans="2:11" x14ac:dyDescent="0.35">
      <c r="B775" t="s">
        <v>771</v>
      </c>
      <c r="C775">
        <v>7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5</v>
      </c>
      <c r="J775">
        <v>3</v>
      </c>
      <c r="K775">
        <f t="shared" si="13"/>
        <v>1</v>
      </c>
    </row>
    <row r="776" spans="2:11" x14ac:dyDescent="0.35">
      <c r="B776" t="s">
        <v>772</v>
      </c>
      <c r="C776">
        <v>16</v>
      </c>
      <c r="D776">
        <v>1</v>
      </c>
      <c r="E776">
        <v>0</v>
      </c>
      <c r="F776">
        <v>0</v>
      </c>
      <c r="G776">
        <v>0</v>
      </c>
      <c r="H776">
        <v>0</v>
      </c>
      <c r="I776">
        <v>7</v>
      </c>
      <c r="J776">
        <v>9</v>
      </c>
      <c r="K776">
        <f t="shared" si="13"/>
        <v>2</v>
      </c>
    </row>
    <row r="777" spans="2:11" x14ac:dyDescent="0.35">
      <c r="B777" t="s">
        <v>773</v>
      </c>
      <c r="C777">
        <v>7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4</v>
      </c>
      <c r="J777">
        <v>4</v>
      </c>
      <c r="K777">
        <f t="shared" si="13"/>
        <v>1</v>
      </c>
    </row>
    <row r="778" spans="2:11" x14ac:dyDescent="0.35">
      <c r="B778" t="s">
        <v>774</v>
      </c>
      <c r="C778">
        <v>6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4</v>
      </c>
      <c r="J778">
        <v>3</v>
      </c>
      <c r="K778">
        <f t="shared" si="13"/>
        <v>1</v>
      </c>
    </row>
    <row r="779" spans="2:11" x14ac:dyDescent="0.35">
      <c r="B779" t="s">
        <v>775</v>
      </c>
      <c r="C779">
        <v>6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4</v>
      </c>
      <c r="J779">
        <v>3</v>
      </c>
      <c r="K779">
        <f t="shared" si="13"/>
        <v>1</v>
      </c>
    </row>
    <row r="780" spans="2:11" x14ac:dyDescent="0.35">
      <c r="B780" t="s">
        <v>776</v>
      </c>
      <c r="C780">
        <v>12</v>
      </c>
      <c r="D780">
        <v>2</v>
      </c>
      <c r="E780">
        <v>0</v>
      </c>
      <c r="F780">
        <v>0</v>
      </c>
      <c r="G780">
        <v>0</v>
      </c>
      <c r="H780">
        <v>0</v>
      </c>
      <c r="I780">
        <v>9</v>
      </c>
      <c r="J780">
        <v>2</v>
      </c>
      <c r="K780">
        <f t="shared" ref="K780:K843" si="14">COUNTIF(D780:I780, "&gt;0")</f>
        <v>2</v>
      </c>
    </row>
    <row r="781" spans="2:11" x14ac:dyDescent="0.35">
      <c r="B781" t="s">
        <v>777</v>
      </c>
      <c r="C781">
        <v>6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5</v>
      </c>
      <c r="J781">
        <v>2</v>
      </c>
      <c r="K781">
        <f t="shared" si="14"/>
        <v>1</v>
      </c>
    </row>
    <row r="782" spans="2:11" x14ac:dyDescent="0.35">
      <c r="B782" t="s">
        <v>778</v>
      </c>
      <c r="C782">
        <v>37</v>
      </c>
      <c r="D782">
        <v>1</v>
      </c>
      <c r="E782">
        <v>0</v>
      </c>
      <c r="F782">
        <v>0</v>
      </c>
      <c r="G782">
        <v>2</v>
      </c>
      <c r="H782">
        <v>5</v>
      </c>
      <c r="I782">
        <v>19</v>
      </c>
      <c r="J782">
        <v>11</v>
      </c>
      <c r="K782">
        <f t="shared" si="14"/>
        <v>4</v>
      </c>
    </row>
    <row r="783" spans="2:11" x14ac:dyDescent="0.35">
      <c r="B783" t="s">
        <v>779</v>
      </c>
      <c r="C783">
        <v>11</v>
      </c>
      <c r="D783">
        <v>0</v>
      </c>
      <c r="E783">
        <v>0</v>
      </c>
      <c r="F783">
        <v>0</v>
      </c>
      <c r="G783">
        <v>0</v>
      </c>
      <c r="H783">
        <v>2</v>
      </c>
      <c r="I783">
        <v>7</v>
      </c>
      <c r="J783">
        <v>3</v>
      </c>
      <c r="K783">
        <f t="shared" si="14"/>
        <v>2</v>
      </c>
    </row>
    <row r="784" spans="2:11" x14ac:dyDescent="0.35">
      <c r="B784" t="s">
        <v>780</v>
      </c>
      <c r="C784">
        <v>6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5</v>
      </c>
      <c r="J784">
        <v>2</v>
      </c>
      <c r="K784">
        <f t="shared" si="14"/>
        <v>1</v>
      </c>
    </row>
    <row r="785" spans="2:11" x14ac:dyDescent="0.35">
      <c r="B785" t="s">
        <v>781</v>
      </c>
      <c r="C785">
        <v>8</v>
      </c>
      <c r="D785">
        <v>0</v>
      </c>
      <c r="E785">
        <v>0</v>
      </c>
      <c r="F785">
        <v>2</v>
      </c>
      <c r="G785">
        <v>0</v>
      </c>
      <c r="H785">
        <v>0</v>
      </c>
      <c r="I785">
        <v>5</v>
      </c>
      <c r="J785">
        <v>2</v>
      </c>
      <c r="K785">
        <f t="shared" si="14"/>
        <v>2</v>
      </c>
    </row>
    <row r="786" spans="2:11" x14ac:dyDescent="0.35">
      <c r="B786" t="s">
        <v>782</v>
      </c>
      <c r="C786">
        <v>6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4</v>
      </c>
      <c r="J786">
        <v>3</v>
      </c>
      <c r="K786">
        <f t="shared" si="14"/>
        <v>1</v>
      </c>
    </row>
    <row r="787" spans="2:11" x14ac:dyDescent="0.35">
      <c r="B787" t="s">
        <v>783</v>
      </c>
      <c r="C787">
        <v>6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4</v>
      </c>
      <c r="J787">
        <v>3</v>
      </c>
      <c r="K787">
        <f t="shared" si="14"/>
        <v>1</v>
      </c>
    </row>
    <row r="788" spans="2:11" x14ac:dyDescent="0.35">
      <c r="B788" t="s">
        <v>784</v>
      </c>
      <c r="C788">
        <v>6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5</v>
      </c>
      <c r="J788">
        <v>2</v>
      </c>
      <c r="K788">
        <f t="shared" si="14"/>
        <v>1</v>
      </c>
    </row>
    <row r="789" spans="2:11" x14ac:dyDescent="0.35">
      <c r="B789" t="s">
        <v>785</v>
      </c>
      <c r="C789">
        <v>7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6</v>
      </c>
      <c r="J789">
        <v>2</v>
      </c>
      <c r="K789">
        <f t="shared" si="14"/>
        <v>1</v>
      </c>
    </row>
    <row r="790" spans="2:11" x14ac:dyDescent="0.35">
      <c r="B790" t="s">
        <v>786</v>
      </c>
      <c r="C790">
        <v>20</v>
      </c>
      <c r="D790">
        <v>0</v>
      </c>
      <c r="E790">
        <v>0</v>
      </c>
      <c r="F790">
        <v>2</v>
      </c>
      <c r="G790">
        <v>0</v>
      </c>
      <c r="H790">
        <v>0</v>
      </c>
      <c r="I790">
        <v>12</v>
      </c>
      <c r="J790">
        <v>7</v>
      </c>
      <c r="K790">
        <f t="shared" si="14"/>
        <v>2</v>
      </c>
    </row>
    <row r="791" spans="2:11" x14ac:dyDescent="0.35">
      <c r="B791" t="s">
        <v>787</v>
      </c>
      <c r="C791">
        <v>8</v>
      </c>
      <c r="D791">
        <v>0</v>
      </c>
      <c r="E791">
        <v>0</v>
      </c>
      <c r="F791">
        <v>0</v>
      </c>
      <c r="G791">
        <v>0</v>
      </c>
      <c r="H791">
        <v>2</v>
      </c>
      <c r="I791">
        <v>5</v>
      </c>
      <c r="J791">
        <v>2</v>
      </c>
      <c r="K791">
        <f t="shared" si="14"/>
        <v>2</v>
      </c>
    </row>
    <row r="792" spans="2:11" x14ac:dyDescent="0.35">
      <c r="B792" t="s">
        <v>788</v>
      </c>
      <c r="C792">
        <v>13</v>
      </c>
      <c r="D792">
        <v>0</v>
      </c>
      <c r="E792">
        <v>0</v>
      </c>
      <c r="F792">
        <v>2</v>
      </c>
      <c r="G792">
        <v>0</v>
      </c>
      <c r="H792">
        <v>0</v>
      </c>
      <c r="I792">
        <v>6</v>
      </c>
      <c r="J792">
        <v>6</v>
      </c>
      <c r="K792">
        <f t="shared" si="14"/>
        <v>2</v>
      </c>
    </row>
    <row r="793" spans="2:11" x14ac:dyDescent="0.35">
      <c r="B793" t="s">
        <v>789</v>
      </c>
      <c r="C793">
        <v>8</v>
      </c>
      <c r="D793">
        <v>0</v>
      </c>
      <c r="E793">
        <v>0</v>
      </c>
      <c r="F793">
        <v>2</v>
      </c>
      <c r="G793">
        <v>0</v>
      </c>
      <c r="H793">
        <v>0</v>
      </c>
      <c r="I793">
        <v>5</v>
      </c>
      <c r="J793">
        <v>2</v>
      </c>
      <c r="K793">
        <f t="shared" si="14"/>
        <v>2</v>
      </c>
    </row>
    <row r="794" spans="2:11" x14ac:dyDescent="0.35">
      <c r="B794" t="s">
        <v>790</v>
      </c>
      <c r="C794">
        <v>12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8</v>
      </c>
      <c r="J794">
        <v>5</v>
      </c>
      <c r="K794">
        <f t="shared" si="14"/>
        <v>1</v>
      </c>
    </row>
    <row r="795" spans="2:11" x14ac:dyDescent="0.35">
      <c r="B795" t="s">
        <v>791</v>
      </c>
      <c r="C795">
        <v>4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3</v>
      </c>
      <c r="J795">
        <v>2</v>
      </c>
      <c r="K795">
        <f t="shared" si="14"/>
        <v>1</v>
      </c>
    </row>
    <row r="796" spans="2:11" x14ac:dyDescent="0.35">
      <c r="B796" t="s">
        <v>792</v>
      </c>
      <c r="C796">
        <v>6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4</v>
      </c>
      <c r="J796">
        <v>3</v>
      </c>
      <c r="K796">
        <f t="shared" si="14"/>
        <v>1</v>
      </c>
    </row>
    <row r="797" spans="2:11" x14ac:dyDescent="0.35">
      <c r="B797" t="s">
        <v>793</v>
      </c>
      <c r="C797">
        <v>6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4</v>
      </c>
      <c r="J797">
        <v>3</v>
      </c>
      <c r="K797">
        <f t="shared" si="14"/>
        <v>1</v>
      </c>
    </row>
    <row r="798" spans="2:11" x14ac:dyDescent="0.35">
      <c r="B798" t="s">
        <v>794</v>
      </c>
      <c r="C798">
        <v>22</v>
      </c>
      <c r="D798">
        <v>2</v>
      </c>
      <c r="E798">
        <v>0</v>
      </c>
      <c r="F798">
        <v>0</v>
      </c>
      <c r="G798">
        <v>1</v>
      </c>
      <c r="H798">
        <v>4</v>
      </c>
      <c r="I798">
        <v>9</v>
      </c>
      <c r="J798">
        <v>7</v>
      </c>
      <c r="K798">
        <f t="shared" si="14"/>
        <v>4</v>
      </c>
    </row>
    <row r="799" spans="2:11" x14ac:dyDescent="0.35">
      <c r="B799" t="s">
        <v>795</v>
      </c>
      <c r="C799">
        <v>30</v>
      </c>
      <c r="D799">
        <v>7</v>
      </c>
      <c r="E799">
        <v>0</v>
      </c>
      <c r="F799">
        <v>0</v>
      </c>
      <c r="G799">
        <v>2</v>
      </c>
      <c r="H799">
        <v>2</v>
      </c>
      <c r="I799">
        <v>12</v>
      </c>
      <c r="J799">
        <v>8</v>
      </c>
      <c r="K799">
        <f t="shared" si="14"/>
        <v>4</v>
      </c>
    </row>
    <row r="800" spans="2:11" x14ac:dyDescent="0.35">
      <c r="B800" t="s">
        <v>796</v>
      </c>
      <c r="C800">
        <v>13</v>
      </c>
      <c r="D800">
        <v>1</v>
      </c>
      <c r="E800">
        <v>0</v>
      </c>
      <c r="F800">
        <v>0</v>
      </c>
      <c r="G800">
        <v>0</v>
      </c>
      <c r="H800">
        <v>2</v>
      </c>
      <c r="I800">
        <v>7</v>
      </c>
      <c r="J800">
        <v>4</v>
      </c>
      <c r="K800">
        <f t="shared" si="14"/>
        <v>3</v>
      </c>
    </row>
    <row r="801" spans="2:11" x14ac:dyDescent="0.35">
      <c r="B801" t="s">
        <v>797</v>
      </c>
      <c r="C801">
        <v>14</v>
      </c>
      <c r="D801">
        <v>7</v>
      </c>
      <c r="E801">
        <v>0</v>
      </c>
      <c r="F801">
        <v>0</v>
      </c>
      <c r="G801">
        <v>0</v>
      </c>
      <c r="H801">
        <v>0</v>
      </c>
      <c r="I801">
        <v>4</v>
      </c>
      <c r="J801">
        <v>4</v>
      </c>
      <c r="K801">
        <f t="shared" si="14"/>
        <v>2</v>
      </c>
    </row>
    <row r="802" spans="2:11" x14ac:dyDescent="0.35">
      <c r="B802" t="s">
        <v>798</v>
      </c>
      <c r="C802">
        <v>30</v>
      </c>
      <c r="D802">
        <v>7</v>
      </c>
      <c r="E802">
        <v>0</v>
      </c>
      <c r="F802">
        <v>0</v>
      </c>
      <c r="G802">
        <v>2</v>
      </c>
      <c r="H802">
        <v>2</v>
      </c>
      <c r="I802">
        <v>12</v>
      </c>
      <c r="J802">
        <v>8</v>
      </c>
      <c r="K802">
        <f t="shared" si="14"/>
        <v>4</v>
      </c>
    </row>
    <row r="803" spans="2:11" x14ac:dyDescent="0.35">
      <c r="B803" t="s">
        <v>799</v>
      </c>
      <c r="C803">
        <v>74</v>
      </c>
      <c r="D803">
        <v>1</v>
      </c>
      <c r="E803">
        <v>0</v>
      </c>
      <c r="F803">
        <v>0</v>
      </c>
      <c r="G803">
        <v>11</v>
      </c>
      <c r="H803">
        <v>11</v>
      </c>
      <c r="I803">
        <v>37</v>
      </c>
      <c r="J803">
        <v>15</v>
      </c>
      <c r="K803">
        <f t="shared" si="14"/>
        <v>4</v>
      </c>
    </row>
    <row r="804" spans="2:11" x14ac:dyDescent="0.35">
      <c r="B804" t="s">
        <v>800</v>
      </c>
      <c r="C804">
        <v>14</v>
      </c>
      <c r="D804">
        <v>6</v>
      </c>
      <c r="E804">
        <v>0</v>
      </c>
      <c r="F804">
        <v>0</v>
      </c>
      <c r="G804">
        <v>0</v>
      </c>
      <c r="H804">
        <v>1</v>
      </c>
      <c r="I804">
        <v>4</v>
      </c>
      <c r="J804">
        <v>4</v>
      </c>
      <c r="K804">
        <f t="shared" si="14"/>
        <v>3</v>
      </c>
    </row>
    <row r="805" spans="2:11" x14ac:dyDescent="0.35">
      <c r="B805" t="s">
        <v>801</v>
      </c>
      <c r="C805">
        <v>6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5</v>
      </c>
      <c r="J805">
        <v>2</v>
      </c>
      <c r="K805">
        <f t="shared" si="14"/>
        <v>1</v>
      </c>
    </row>
    <row r="806" spans="2:11" x14ac:dyDescent="0.35">
      <c r="B806" t="s">
        <v>802</v>
      </c>
      <c r="C806">
        <v>6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5</v>
      </c>
      <c r="J806">
        <v>2</v>
      </c>
      <c r="K806">
        <f t="shared" si="14"/>
        <v>1</v>
      </c>
    </row>
    <row r="807" spans="2:11" x14ac:dyDescent="0.35">
      <c r="B807" t="s">
        <v>803</v>
      </c>
      <c r="C807">
        <v>9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</v>
      </c>
      <c r="J807">
        <v>5</v>
      </c>
      <c r="K807">
        <f t="shared" si="14"/>
        <v>2</v>
      </c>
    </row>
    <row r="808" spans="2:11" x14ac:dyDescent="0.35">
      <c r="B808" t="s">
        <v>804</v>
      </c>
      <c r="C808">
        <v>6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4</v>
      </c>
      <c r="J808">
        <v>3</v>
      </c>
      <c r="K808">
        <f t="shared" si="14"/>
        <v>1</v>
      </c>
    </row>
    <row r="809" spans="2:11" x14ac:dyDescent="0.35">
      <c r="B809" t="s">
        <v>805</v>
      </c>
      <c r="C809">
        <v>6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5</v>
      </c>
      <c r="J809">
        <v>2</v>
      </c>
      <c r="K809">
        <f t="shared" si="14"/>
        <v>1</v>
      </c>
    </row>
    <row r="810" spans="2:11" x14ac:dyDescent="0.35">
      <c r="B810" t="s">
        <v>806</v>
      </c>
      <c r="C810">
        <v>28</v>
      </c>
      <c r="D810">
        <v>9</v>
      </c>
      <c r="E810">
        <v>0</v>
      </c>
      <c r="F810">
        <v>0</v>
      </c>
      <c r="G810">
        <v>0</v>
      </c>
      <c r="H810">
        <v>1</v>
      </c>
      <c r="I810">
        <v>7</v>
      </c>
      <c r="J810">
        <v>12</v>
      </c>
      <c r="K810">
        <f t="shared" si="14"/>
        <v>3</v>
      </c>
    </row>
    <row r="811" spans="2:11" x14ac:dyDescent="0.35">
      <c r="B811" t="s">
        <v>807</v>
      </c>
      <c r="C811">
        <v>8</v>
      </c>
      <c r="D811">
        <v>0</v>
      </c>
      <c r="E811">
        <v>0</v>
      </c>
      <c r="F811">
        <v>2</v>
      </c>
      <c r="G811">
        <v>0</v>
      </c>
      <c r="H811">
        <v>0</v>
      </c>
      <c r="I811">
        <v>6</v>
      </c>
      <c r="J811">
        <v>1</v>
      </c>
      <c r="K811">
        <f t="shared" si="14"/>
        <v>2</v>
      </c>
    </row>
    <row r="812" spans="2:11" x14ac:dyDescent="0.35">
      <c r="B812" t="s">
        <v>808</v>
      </c>
      <c r="C812">
        <v>41</v>
      </c>
      <c r="D812">
        <v>0</v>
      </c>
      <c r="E812">
        <v>0</v>
      </c>
      <c r="F812">
        <v>0</v>
      </c>
      <c r="G812">
        <v>0</v>
      </c>
      <c r="H812">
        <v>34</v>
      </c>
      <c r="I812">
        <v>0</v>
      </c>
      <c r="J812">
        <v>8</v>
      </c>
      <c r="K812">
        <f t="shared" si="14"/>
        <v>1</v>
      </c>
    </row>
    <row r="813" spans="2:11" x14ac:dyDescent="0.35">
      <c r="B813" t="s">
        <v>809</v>
      </c>
      <c r="C813">
        <v>3</v>
      </c>
      <c r="D813">
        <v>0</v>
      </c>
      <c r="E813">
        <v>0</v>
      </c>
      <c r="F813">
        <v>0</v>
      </c>
      <c r="G813">
        <v>0</v>
      </c>
      <c r="H813">
        <v>1</v>
      </c>
      <c r="I813">
        <v>2</v>
      </c>
      <c r="J813">
        <v>1</v>
      </c>
      <c r="K813">
        <f t="shared" si="14"/>
        <v>2</v>
      </c>
    </row>
    <row r="814" spans="2:11" x14ac:dyDescent="0.35">
      <c r="B814" t="s">
        <v>810</v>
      </c>
      <c r="C814">
        <v>46</v>
      </c>
      <c r="D814">
        <v>1</v>
      </c>
      <c r="E814">
        <v>0</v>
      </c>
      <c r="F814">
        <v>1</v>
      </c>
      <c r="G814">
        <v>7</v>
      </c>
      <c r="H814">
        <v>1</v>
      </c>
      <c r="I814">
        <v>24</v>
      </c>
      <c r="J814">
        <v>13</v>
      </c>
      <c r="K814">
        <f t="shared" si="14"/>
        <v>5</v>
      </c>
    </row>
    <row r="815" spans="2:11" x14ac:dyDescent="0.35">
      <c r="B815" t="s">
        <v>811</v>
      </c>
      <c r="C815">
        <v>37</v>
      </c>
      <c r="D815">
        <v>0</v>
      </c>
      <c r="E815">
        <v>2</v>
      </c>
      <c r="F815">
        <v>0</v>
      </c>
      <c r="G815">
        <v>2</v>
      </c>
      <c r="H815">
        <v>0</v>
      </c>
      <c r="I815">
        <v>4</v>
      </c>
      <c r="J815">
        <v>30</v>
      </c>
      <c r="K815">
        <f t="shared" si="14"/>
        <v>3</v>
      </c>
    </row>
    <row r="816" spans="2:11" x14ac:dyDescent="0.35">
      <c r="B816" t="s">
        <v>812</v>
      </c>
      <c r="C816">
        <v>12</v>
      </c>
      <c r="D816">
        <v>5</v>
      </c>
      <c r="E816">
        <v>0</v>
      </c>
      <c r="F816">
        <v>0</v>
      </c>
      <c r="G816">
        <v>0</v>
      </c>
      <c r="H816">
        <v>2</v>
      </c>
      <c r="I816">
        <v>2</v>
      </c>
      <c r="J816">
        <v>4</v>
      </c>
      <c r="K816">
        <f t="shared" si="14"/>
        <v>3</v>
      </c>
    </row>
    <row r="817" spans="2:11" x14ac:dyDescent="0.35">
      <c r="B817" t="s">
        <v>813</v>
      </c>
      <c r="C817">
        <v>22</v>
      </c>
      <c r="D817">
        <v>4</v>
      </c>
      <c r="E817">
        <v>0</v>
      </c>
      <c r="F817">
        <v>0</v>
      </c>
      <c r="G817">
        <v>1</v>
      </c>
      <c r="H817">
        <v>5</v>
      </c>
      <c r="I817">
        <v>9</v>
      </c>
      <c r="J817">
        <v>4</v>
      </c>
      <c r="K817">
        <f t="shared" si="14"/>
        <v>4</v>
      </c>
    </row>
    <row r="818" spans="2:11" x14ac:dyDescent="0.35">
      <c r="B818" t="s">
        <v>814</v>
      </c>
      <c r="C818">
        <v>116</v>
      </c>
      <c r="D818">
        <v>0</v>
      </c>
      <c r="E818">
        <v>0</v>
      </c>
      <c r="F818">
        <v>0</v>
      </c>
      <c r="G818">
        <v>33</v>
      </c>
      <c r="H818">
        <v>7</v>
      </c>
      <c r="I818">
        <v>38</v>
      </c>
      <c r="J818">
        <v>39</v>
      </c>
      <c r="K818">
        <f t="shared" si="14"/>
        <v>3</v>
      </c>
    </row>
    <row r="819" spans="2:11" x14ac:dyDescent="0.35">
      <c r="B819" t="s">
        <v>815</v>
      </c>
      <c r="C819">
        <v>28</v>
      </c>
      <c r="D819">
        <v>1</v>
      </c>
      <c r="E819">
        <v>2</v>
      </c>
      <c r="F819">
        <v>3</v>
      </c>
      <c r="G819">
        <v>0</v>
      </c>
      <c r="H819">
        <v>0</v>
      </c>
      <c r="I819">
        <v>2</v>
      </c>
      <c r="J819">
        <v>21</v>
      </c>
      <c r="K819">
        <f t="shared" si="14"/>
        <v>4</v>
      </c>
    </row>
    <row r="820" spans="2:11" x14ac:dyDescent="0.35">
      <c r="B820" t="s">
        <v>816</v>
      </c>
      <c r="C820">
        <v>14</v>
      </c>
      <c r="D820">
        <v>0</v>
      </c>
      <c r="E820">
        <v>2</v>
      </c>
      <c r="F820">
        <v>0</v>
      </c>
      <c r="G820">
        <v>0</v>
      </c>
      <c r="H820">
        <v>0</v>
      </c>
      <c r="I820">
        <v>1</v>
      </c>
      <c r="J820">
        <v>12</v>
      </c>
      <c r="K820">
        <f t="shared" si="14"/>
        <v>2</v>
      </c>
    </row>
    <row r="821" spans="2:11" x14ac:dyDescent="0.35">
      <c r="B821" t="s">
        <v>817</v>
      </c>
      <c r="C821">
        <v>9</v>
      </c>
      <c r="D821">
        <v>1</v>
      </c>
      <c r="E821">
        <v>0</v>
      </c>
      <c r="F821">
        <v>0</v>
      </c>
      <c r="G821">
        <v>0</v>
      </c>
      <c r="H821">
        <v>1</v>
      </c>
      <c r="I821">
        <v>3</v>
      </c>
      <c r="J821">
        <v>5</v>
      </c>
      <c r="K821">
        <f t="shared" si="14"/>
        <v>3</v>
      </c>
    </row>
    <row r="822" spans="2:11" x14ac:dyDescent="0.35">
      <c r="B822" t="s">
        <v>818</v>
      </c>
      <c r="C822">
        <v>25</v>
      </c>
      <c r="D822">
        <v>3</v>
      </c>
      <c r="E822">
        <v>0</v>
      </c>
      <c r="F822">
        <v>0</v>
      </c>
      <c r="G822">
        <v>4</v>
      </c>
      <c r="H822">
        <v>0</v>
      </c>
      <c r="I822">
        <v>5</v>
      </c>
      <c r="J822">
        <v>14</v>
      </c>
      <c r="K822">
        <f t="shared" si="14"/>
        <v>3</v>
      </c>
    </row>
    <row r="823" spans="2:11" x14ac:dyDescent="0.35">
      <c r="B823" t="s">
        <v>819</v>
      </c>
      <c r="C823">
        <v>19</v>
      </c>
      <c r="D823">
        <v>2</v>
      </c>
      <c r="E823">
        <v>0</v>
      </c>
      <c r="F823">
        <v>0</v>
      </c>
      <c r="G823">
        <v>0</v>
      </c>
      <c r="H823">
        <v>4</v>
      </c>
      <c r="I823">
        <v>7</v>
      </c>
      <c r="J823">
        <v>7</v>
      </c>
      <c r="K823">
        <f t="shared" si="14"/>
        <v>3</v>
      </c>
    </row>
    <row r="824" spans="2:11" x14ac:dyDescent="0.35">
      <c r="B824" t="s">
        <v>820</v>
      </c>
      <c r="C824">
        <v>25</v>
      </c>
      <c r="D824">
        <v>3</v>
      </c>
      <c r="E824">
        <v>0</v>
      </c>
      <c r="F824">
        <v>0</v>
      </c>
      <c r="G824">
        <v>0</v>
      </c>
      <c r="H824">
        <v>2</v>
      </c>
      <c r="I824">
        <v>15</v>
      </c>
      <c r="J824">
        <v>6</v>
      </c>
      <c r="K824">
        <f t="shared" si="14"/>
        <v>3</v>
      </c>
    </row>
    <row r="825" spans="2:11" x14ac:dyDescent="0.35">
      <c r="B825" t="s">
        <v>821</v>
      </c>
      <c r="C825">
        <v>67</v>
      </c>
      <c r="D825">
        <v>10</v>
      </c>
      <c r="E825">
        <v>0</v>
      </c>
      <c r="F825">
        <v>0</v>
      </c>
      <c r="G825">
        <v>0</v>
      </c>
      <c r="H825">
        <v>10</v>
      </c>
      <c r="I825">
        <v>5</v>
      </c>
      <c r="J825">
        <v>43</v>
      </c>
      <c r="K825">
        <f t="shared" si="14"/>
        <v>3</v>
      </c>
    </row>
    <row r="826" spans="2:11" x14ac:dyDescent="0.35">
      <c r="B826" t="s">
        <v>822</v>
      </c>
      <c r="C826">
        <v>34</v>
      </c>
      <c r="D826">
        <v>6</v>
      </c>
      <c r="E826">
        <v>0</v>
      </c>
      <c r="F826">
        <v>0</v>
      </c>
      <c r="G826">
        <v>3</v>
      </c>
      <c r="H826">
        <v>3</v>
      </c>
      <c r="I826">
        <v>18</v>
      </c>
      <c r="J826">
        <v>5</v>
      </c>
      <c r="K826">
        <f t="shared" si="14"/>
        <v>4</v>
      </c>
    </row>
    <row r="827" spans="2:11" x14ac:dyDescent="0.35">
      <c r="B827" t="s">
        <v>823</v>
      </c>
      <c r="C827">
        <v>24</v>
      </c>
      <c r="D827">
        <v>0</v>
      </c>
      <c r="E827">
        <v>0</v>
      </c>
      <c r="F827">
        <v>2</v>
      </c>
      <c r="G827">
        <v>0</v>
      </c>
      <c r="H827">
        <v>0</v>
      </c>
      <c r="I827">
        <v>1</v>
      </c>
      <c r="J827">
        <v>22</v>
      </c>
      <c r="K827">
        <f t="shared" si="14"/>
        <v>2</v>
      </c>
    </row>
    <row r="828" spans="2:11" x14ac:dyDescent="0.35">
      <c r="B828" t="s">
        <v>824</v>
      </c>
      <c r="C828">
        <v>16</v>
      </c>
      <c r="D828">
        <v>0</v>
      </c>
      <c r="E828">
        <v>0</v>
      </c>
      <c r="F828">
        <v>0</v>
      </c>
      <c r="G828">
        <v>0</v>
      </c>
      <c r="H828">
        <v>16</v>
      </c>
      <c r="I828">
        <v>0</v>
      </c>
      <c r="J828">
        <v>1</v>
      </c>
      <c r="K828">
        <f t="shared" si="14"/>
        <v>1</v>
      </c>
    </row>
    <row r="829" spans="2:11" x14ac:dyDescent="0.35">
      <c r="B829" t="s">
        <v>825</v>
      </c>
      <c r="C829">
        <v>38</v>
      </c>
      <c r="D829">
        <v>5</v>
      </c>
      <c r="E829">
        <v>0</v>
      </c>
      <c r="F829">
        <v>1</v>
      </c>
      <c r="G829">
        <v>6</v>
      </c>
      <c r="H829">
        <v>4</v>
      </c>
      <c r="I829">
        <v>9</v>
      </c>
      <c r="J829">
        <v>14</v>
      </c>
      <c r="K829">
        <f t="shared" si="14"/>
        <v>5</v>
      </c>
    </row>
    <row r="830" spans="2:11" x14ac:dyDescent="0.35">
      <c r="B830" t="s">
        <v>826</v>
      </c>
      <c r="C830">
        <v>21</v>
      </c>
      <c r="D830">
        <v>2</v>
      </c>
      <c r="E830">
        <v>1</v>
      </c>
      <c r="F830">
        <v>1</v>
      </c>
      <c r="G830">
        <v>0</v>
      </c>
      <c r="H830">
        <v>0</v>
      </c>
      <c r="I830">
        <v>6</v>
      </c>
      <c r="J830">
        <v>12</v>
      </c>
      <c r="K830">
        <f t="shared" si="14"/>
        <v>4</v>
      </c>
    </row>
    <row r="831" spans="2:11" x14ac:dyDescent="0.35">
      <c r="B831" t="s">
        <v>827</v>
      </c>
      <c r="C831">
        <v>34</v>
      </c>
      <c r="D831">
        <v>0</v>
      </c>
      <c r="E831">
        <v>0</v>
      </c>
      <c r="F831">
        <v>0</v>
      </c>
      <c r="G831">
        <v>5</v>
      </c>
      <c r="H831">
        <v>3</v>
      </c>
      <c r="I831">
        <v>17</v>
      </c>
      <c r="J831">
        <v>10</v>
      </c>
      <c r="K831">
        <f t="shared" si="14"/>
        <v>3</v>
      </c>
    </row>
    <row r="832" spans="2:11" x14ac:dyDescent="0.35">
      <c r="B832" t="s">
        <v>828</v>
      </c>
      <c r="C832">
        <v>42</v>
      </c>
      <c r="D832">
        <v>1</v>
      </c>
      <c r="E832">
        <v>0</v>
      </c>
      <c r="F832">
        <v>0</v>
      </c>
      <c r="G832">
        <v>2</v>
      </c>
      <c r="H832">
        <v>7</v>
      </c>
      <c r="I832">
        <v>18</v>
      </c>
      <c r="J832">
        <v>15</v>
      </c>
      <c r="K832">
        <f t="shared" si="14"/>
        <v>4</v>
      </c>
    </row>
    <row r="833" spans="2:11" x14ac:dyDescent="0.35">
      <c r="B833" t="s">
        <v>829</v>
      </c>
      <c r="C833">
        <v>6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4</v>
      </c>
      <c r="J833">
        <v>3</v>
      </c>
      <c r="K833">
        <f t="shared" si="14"/>
        <v>1</v>
      </c>
    </row>
    <row r="834" spans="2:11" x14ac:dyDescent="0.35">
      <c r="B834" t="s">
        <v>830</v>
      </c>
      <c r="C834">
        <v>20</v>
      </c>
      <c r="D834">
        <v>1</v>
      </c>
      <c r="E834">
        <v>0</v>
      </c>
      <c r="F834">
        <v>1</v>
      </c>
      <c r="G834">
        <v>0</v>
      </c>
      <c r="H834">
        <v>2</v>
      </c>
      <c r="I834">
        <v>5</v>
      </c>
      <c r="J834">
        <v>12</v>
      </c>
      <c r="K834">
        <f t="shared" si="14"/>
        <v>4</v>
      </c>
    </row>
    <row r="835" spans="2:11" x14ac:dyDescent="0.35">
      <c r="B835" t="s">
        <v>831</v>
      </c>
      <c r="C835">
        <v>43</v>
      </c>
      <c r="D835">
        <v>1</v>
      </c>
      <c r="E835">
        <v>1</v>
      </c>
      <c r="F835">
        <v>3</v>
      </c>
      <c r="G835">
        <v>2</v>
      </c>
      <c r="H835">
        <v>2</v>
      </c>
      <c r="I835">
        <v>9</v>
      </c>
      <c r="J835">
        <v>26</v>
      </c>
      <c r="K835">
        <f t="shared" si="14"/>
        <v>6</v>
      </c>
    </row>
    <row r="836" spans="2:11" x14ac:dyDescent="0.35">
      <c r="B836" t="s">
        <v>832</v>
      </c>
      <c r="C836">
        <v>23</v>
      </c>
      <c r="D836">
        <v>1</v>
      </c>
      <c r="E836">
        <v>1</v>
      </c>
      <c r="F836">
        <v>2</v>
      </c>
      <c r="G836">
        <v>0</v>
      </c>
      <c r="H836">
        <v>1</v>
      </c>
      <c r="I836">
        <v>7</v>
      </c>
      <c r="J836">
        <v>12</v>
      </c>
      <c r="K836">
        <f t="shared" si="14"/>
        <v>5</v>
      </c>
    </row>
    <row r="837" spans="2:11" x14ac:dyDescent="0.35">
      <c r="B837" t="s">
        <v>833</v>
      </c>
      <c r="C837">
        <v>27</v>
      </c>
      <c r="D837">
        <v>1</v>
      </c>
      <c r="E837">
        <v>1</v>
      </c>
      <c r="F837">
        <v>1</v>
      </c>
      <c r="G837">
        <v>0</v>
      </c>
      <c r="H837">
        <v>2</v>
      </c>
      <c r="I837">
        <v>8</v>
      </c>
      <c r="J837">
        <v>15</v>
      </c>
      <c r="K837">
        <f t="shared" si="14"/>
        <v>5</v>
      </c>
    </row>
    <row r="838" spans="2:11" x14ac:dyDescent="0.35">
      <c r="B838" t="s">
        <v>834</v>
      </c>
      <c r="C838">
        <v>29</v>
      </c>
      <c r="D838">
        <v>0</v>
      </c>
      <c r="E838">
        <v>0</v>
      </c>
      <c r="F838">
        <v>0</v>
      </c>
      <c r="G838">
        <v>1</v>
      </c>
      <c r="H838">
        <v>14</v>
      </c>
      <c r="I838">
        <v>6</v>
      </c>
      <c r="J838">
        <v>9</v>
      </c>
      <c r="K838">
        <f t="shared" si="14"/>
        <v>3</v>
      </c>
    </row>
    <row r="839" spans="2:11" x14ac:dyDescent="0.35">
      <c r="B839" t="s">
        <v>835</v>
      </c>
      <c r="C839">
        <v>25</v>
      </c>
      <c r="D839">
        <v>0</v>
      </c>
      <c r="E839">
        <v>0</v>
      </c>
      <c r="F839">
        <v>0</v>
      </c>
      <c r="G839">
        <v>1</v>
      </c>
      <c r="H839">
        <v>2</v>
      </c>
      <c r="I839">
        <v>11</v>
      </c>
      <c r="J839">
        <v>12</v>
      </c>
      <c r="K839">
        <f t="shared" si="14"/>
        <v>3</v>
      </c>
    </row>
    <row r="840" spans="2:11" x14ac:dyDescent="0.35">
      <c r="B840" t="s">
        <v>836</v>
      </c>
      <c r="C840">
        <v>15</v>
      </c>
      <c r="D840">
        <v>1</v>
      </c>
      <c r="E840">
        <v>0</v>
      </c>
      <c r="F840">
        <v>0</v>
      </c>
      <c r="G840">
        <v>1</v>
      </c>
      <c r="H840">
        <v>1</v>
      </c>
      <c r="I840">
        <v>5</v>
      </c>
      <c r="J840">
        <v>8</v>
      </c>
      <c r="K840">
        <f t="shared" si="14"/>
        <v>4</v>
      </c>
    </row>
    <row r="841" spans="2:11" x14ac:dyDescent="0.35">
      <c r="B841" t="s">
        <v>837</v>
      </c>
      <c r="C841">
        <v>50</v>
      </c>
      <c r="D841">
        <v>3</v>
      </c>
      <c r="E841">
        <v>0</v>
      </c>
      <c r="F841">
        <v>7</v>
      </c>
      <c r="G841">
        <v>0</v>
      </c>
      <c r="H841">
        <v>6</v>
      </c>
      <c r="I841">
        <v>5</v>
      </c>
      <c r="J841">
        <v>30</v>
      </c>
      <c r="K841">
        <f t="shared" si="14"/>
        <v>4</v>
      </c>
    </row>
    <row r="842" spans="2:11" x14ac:dyDescent="0.35">
      <c r="B842" t="s">
        <v>838</v>
      </c>
      <c r="C842">
        <v>8</v>
      </c>
      <c r="D842">
        <v>1</v>
      </c>
      <c r="E842">
        <v>0</v>
      </c>
      <c r="F842">
        <v>0</v>
      </c>
      <c r="G842">
        <v>1</v>
      </c>
      <c r="H842">
        <v>1</v>
      </c>
      <c r="I842">
        <v>3</v>
      </c>
      <c r="J842">
        <v>3</v>
      </c>
      <c r="K842">
        <f t="shared" si="14"/>
        <v>4</v>
      </c>
    </row>
    <row r="843" spans="2:11" x14ac:dyDescent="0.35">
      <c r="B843" t="s">
        <v>839</v>
      </c>
      <c r="C843">
        <v>43</v>
      </c>
      <c r="D843">
        <v>2</v>
      </c>
      <c r="E843">
        <v>0</v>
      </c>
      <c r="F843">
        <v>0</v>
      </c>
      <c r="G843">
        <v>5</v>
      </c>
      <c r="H843">
        <v>2</v>
      </c>
      <c r="I843">
        <v>10</v>
      </c>
      <c r="J843">
        <v>25</v>
      </c>
      <c r="K843">
        <f t="shared" si="14"/>
        <v>4</v>
      </c>
    </row>
    <row r="844" spans="2:11" x14ac:dyDescent="0.35">
      <c r="B844" t="s">
        <v>840</v>
      </c>
      <c r="C844">
        <v>13</v>
      </c>
      <c r="D844">
        <v>1</v>
      </c>
      <c r="E844">
        <v>0</v>
      </c>
      <c r="F844">
        <v>0</v>
      </c>
      <c r="G844">
        <v>0</v>
      </c>
      <c r="H844">
        <v>1</v>
      </c>
      <c r="I844">
        <v>0</v>
      </c>
      <c r="J844">
        <v>12</v>
      </c>
      <c r="K844">
        <f t="shared" ref="K844:K907" si="15">COUNTIF(D844:I844, "&gt;0")</f>
        <v>2</v>
      </c>
    </row>
    <row r="845" spans="2:11" x14ac:dyDescent="0.35">
      <c r="B845" t="s">
        <v>841</v>
      </c>
      <c r="C845">
        <v>19</v>
      </c>
      <c r="D845">
        <v>2</v>
      </c>
      <c r="E845">
        <v>0</v>
      </c>
      <c r="F845">
        <v>1</v>
      </c>
      <c r="G845">
        <v>2</v>
      </c>
      <c r="H845">
        <v>0</v>
      </c>
      <c r="I845">
        <v>6</v>
      </c>
      <c r="J845">
        <v>9</v>
      </c>
      <c r="K845">
        <f t="shared" si="15"/>
        <v>4</v>
      </c>
    </row>
    <row r="846" spans="2:11" x14ac:dyDescent="0.35">
      <c r="B846" t="s">
        <v>842</v>
      </c>
      <c r="C846">
        <v>26</v>
      </c>
      <c r="D846">
        <v>4</v>
      </c>
      <c r="E846">
        <v>0</v>
      </c>
      <c r="F846">
        <v>1</v>
      </c>
      <c r="G846">
        <v>0</v>
      </c>
      <c r="H846">
        <v>0</v>
      </c>
      <c r="I846">
        <v>8</v>
      </c>
      <c r="J846">
        <v>14</v>
      </c>
      <c r="K846">
        <f t="shared" si="15"/>
        <v>3</v>
      </c>
    </row>
    <row r="847" spans="2:11" x14ac:dyDescent="0.35">
      <c r="B847" t="s">
        <v>843</v>
      </c>
      <c r="C847">
        <v>13</v>
      </c>
      <c r="D847">
        <v>0</v>
      </c>
      <c r="E847">
        <v>0</v>
      </c>
      <c r="F847">
        <v>0</v>
      </c>
      <c r="G847">
        <v>0</v>
      </c>
      <c r="H847">
        <v>1</v>
      </c>
      <c r="I847">
        <v>5</v>
      </c>
      <c r="J847">
        <v>8</v>
      </c>
      <c r="K847">
        <f t="shared" si="15"/>
        <v>2</v>
      </c>
    </row>
    <row r="848" spans="2:11" x14ac:dyDescent="0.35">
      <c r="B848" t="s">
        <v>844</v>
      </c>
      <c r="C848">
        <v>42</v>
      </c>
      <c r="D848">
        <v>3</v>
      </c>
      <c r="E848">
        <v>0</v>
      </c>
      <c r="F848">
        <v>0</v>
      </c>
      <c r="G848">
        <v>5</v>
      </c>
      <c r="H848">
        <v>2</v>
      </c>
      <c r="I848">
        <v>15</v>
      </c>
      <c r="J848">
        <v>18</v>
      </c>
      <c r="K848">
        <f t="shared" si="15"/>
        <v>4</v>
      </c>
    </row>
    <row r="849" spans="2:11" x14ac:dyDescent="0.35">
      <c r="B849" t="s">
        <v>845</v>
      </c>
      <c r="C849">
        <v>29</v>
      </c>
      <c r="D849">
        <v>5</v>
      </c>
      <c r="E849">
        <v>1</v>
      </c>
      <c r="F849">
        <v>0</v>
      </c>
      <c r="G849">
        <v>0</v>
      </c>
      <c r="H849">
        <v>2</v>
      </c>
      <c r="I849">
        <v>7</v>
      </c>
      <c r="J849">
        <v>15</v>
      </c>
      <c r="K849">
        <f t="shared" si="15"/>
        <v>4</v>
      </c>
    </row>
    <row r="850" spans="2:11" x14ac:dyDescent="0.35">
      <c r="B850" t="s">
        <v>846</v>
      </c>
      <c r="C850">
        <v>62</v>
      </c>
      <c r="D850">
        <v>3</v>
      </c>
      <c r="E850">
        <v>0</v>
      </c>
      <c r="F850">
        <v>0</v>
      </c>
      <c r="G850">
        <v>9</v>
      </c>
      <c r="H850">
        <v>8</v>
      </c>
      <c r="I850">
        <v>24</v>
      </c>
      <c r="J850">
        <v>19</v>
      </c>
      <c r="K850">
        <f t="shared" si="15"/>
        <v>4</v>
      </c>
    </row>
    <row r="851" spans="2:11" x14ac:dyDescent="0.35">
      <c r="B851" t="s">
        <v>847</v>
      </c>
      <c r="C851">
        <v>17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6</v>
      </c>
      <c r="J851">
        <v>12</v>
      </c>
      <c r="K851">
        <f t="shared" si="15"/>
        <v>1</v>
      </c>
    </row>
    <row r="852" spans="2:11" x14ac:dyDescent="0.35">
      <c r="B852" t="s">
        <v>848</v>
      </c>
      <c r="C852">
        <v>24</v>
      </c>
      <c r="D852">
        <v>0</v>
      </c>
      <c r="E852">
        <v>0</v>
      </c>
      <c r="F852">
        <v>0</v>
      </c>
      <c r="G852">
        <v>2</v>
      </c>
      <c r="H852">
        <v>3</v>
      </c>
      <c r="I852">
        <v>10</v>
      </c>
      <c r="J852">
        <v>10</v>
      </c>
      <c r="K852">
        <f t="shared" si="15"/>
        <v>3</v>
      </c>
    </row>
    <row r="853" spans="2:11" x14ac:dyDescent="0.35">
      <c r="B853" t="s">
        <v>849</v>
      </c>
      <c r="C853">
        <v>14</v>
      </c>
      <c r="D853">
        <v>2</v>
      </c>
      <c r="E853">
        <v>0</v>
      </c>
      <c r="F853">
        <v>0</v>
      </c>
      <c r="G853">
        <v>1</v>
      </c>
      <c r="H853">
        <v>1</v>
      </c>
      <c r="I853">
        <v>5</v>
      </c>
      <c r="J853">
        <v>6</v>
      </c>
      <c r="K853">
        <f t="shared" si="15"/>
        <v>4</v>
      </c>
    </row>
    <row r="854" spans="2:11" x14ac:dyDescent="0.35">
      <c r="B854" t="s">
        <v>850</v>
      </c>
      <c r="C854">
        <v>49</v>
      </c>
      <c r="D854">
        <v>6</v>
      </c>
      <c r="E854">
        <v>0</v>
      </c>
      <c r="F854">
        <v>1</v>
      </c>
      <c r="G854">
        <v>0</v>
      </c>
      <c r="H854">
        <v>1</v>
      </c>
      <c r="I854">
        <v>24</v>
      </c>
      <c r="J854">
        <v>18</v>
      </c>
      <c r="K854">
        <f t="shared" si="15"/>
        <v>4</v>
      </c>
    </row>
    <row r="855" spans="2:11" x14ac:dyDescent="0.35">
      <c r="B855" t="s">
        <v>851</v>
      </c>
      <c r="C855">
        <v>55</v>
      </c>
      <c r="D855">
        <v>7</v>
      </c>
      <c r="E855">
        <v>0</v>
      </c>
      <c r="F855">
        <v>0</v>
      </c>
      <c r="G855">
        <v>2</v>
      </c>
      <c r="H855">
        <v>3</v>
      </c>
      <c r="I855">
        <v>32</v>
      </c>
      <c r="J855">
        <v>12</v>
      </c>
      <c r="K855">
        <f t="shared" si="15"/>
        <v>4</v>
      </c>
    </row>
    <row r="856" spans="2:11" x14ac:dyDescent="0.35">
      <c r="B856" t="s">
        <v>852</v>
      </c>
      <c r="C856">
        <v>19</v>
      </c>
      <c r="D856">
        <v>0</v>
      </c>
      <c r="E856">
        <v>0</v>
      </c>
      <c r="F856">
        <v>1</v>
      </c>
      <c r="G856">
        <v>7</v>
      </c>
      <c r="H856">
        <v>1</v>
      </c>
      <c r="I856">
        <v>5</v>
      </c>
      <c r="J856">
        <v>6</v>
      </c>
      <c r="K856">
        <f t="shared" si="15"/>
        <v>4</v>
      </c>
    </row>
    <row r="857" spans="2:11" x14ac:dyDescent="0.35">
      <c r="B857" t="s">
        <v>853</v>
      </c>
      <c r="C857">
        <v>21</v>
      </c>
      <c r="D857">
        <v>1</v>
      </c>
      <c r="E857">
        <v>0</v>
      </c>
      <c r="F857">
        <v>0</v>
      </c>
      <c r="G857">
        <v>0</v>
      </c>
      <c r="H857">
        <v>3</v>
      </c>
      <c r="I857">
        <v>9</v>
      </c>
      <c r="J857">
        <v>9</v>
      </c>
      <c r="K857">
        <f t="shared" si="15"/>
        <v>3</v>
      </c>
    </row>
    <row r="858" spans="2:11" x14ac:dyDescent="0.35">
      <c r="B858" t="s">
        <v>854</v>
      </c>
      <c r="C858">
        <v>6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1</v>
      </c>
      <c r="J858">
        <v>5</v>
      </c>
      <c r="K858">
        <f t="shared" si="15"/>
        <v>2</v>
      </c>
    </row>
    <row r="859" spans="2:11" x14ac:dyDescent="0.35">
      <c r="B859" t="s">
        <v>855</v>
      </c>
      <c r="C859">
        <v>20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8</v>
      </c>
      <c r="J859">
        <v>12</v>
      </c>
      <c r="K859">
        <f t="shared" si="15"/>
        <v>2</v>
      </c>
    </row>
    <row r="860" spans="2:11" x14ac:dyDescent="0.35">
      <c r="B860" t="s">
        <v>856</v>
      </c>
      <c r="C860">
        <v>5</v>
      </c>
      <c r="D860">
        <v>0</v>
      </c>
      <c r="E860">
        <v>0</v>
      </c>
      <c r="F860">
        <v>1</v>
      </c>
      <c r="G860">
        <v>0</v>
      </c>
      <c r="H860">
        <v>0</v>
      </c>
      <c r="I860">
        <v>2</v>
      </c>
      <c r="J860">
        <v>3</v>
      </c>
      <c r="K860">
        <f t="shared" si="15"/>
        <v>2</v>
      </c>
    </row>
    <row r="861" spans="2:11" x14ac:dyDescent="0.35">
      <c r="B861" t="s">
        <v>857</v>
      </c>
      <c r="C861">
        <v>5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1</v>
      </c>
      <c r="J861">
        <v>5</v>
      </c>
      <c r="K861">
        <f t="shared" si="15"/>
        <v>1</v>
      </c>
    </row>
    <row r="862" spans="2:11" x14ac:dyDescent="0.35">
      <c r="B862" t="s">
        <v>858</v>
      </c>
      <c r="C862">
        <v>30</v>
      </c>
      <c r="D862">
        <v>2</v>
      </c>
      <c r="E862">
        <v>0</v>
      </c>
      <c r="F862">
        <v>0</v>
      </c>
      <c r="G862">
        <v>10</v>
      </c>
      <c r="H862">
        <v>4</v>
      </c>
      <c r="I862">
        <v>2</v>
      </c>
      <c r="J862">
        <v>13</v>
      </c>
      <c r="K862">
        <f t="shared" si="15"/>
        <v>4</v>
      </c>
    </row>
    <row r="863" spans="2:11" x14ac:dyDescent="0.35">
      <c r="B863" t="s">
        <v>859</v>
      </c>
      <c r="C863">
        <v>7</v>
      </c>
      <c r="D863">
        <v>0</v>
      </c>
      <c r="E863">
        <v>0</v>
      </c>
      <c r="F863">
        <v>0</v>
      </c>
      <c r="G863">
        <v>0</v>
      </c>
      <c r="H863">
        <v>1</v>
      </c>
      <c r="I863">
        <v>3</v>
      </c>
      <c r="J863">
        <v>4</v>
      </c>
      <c r="K863">
        <f t="shared" si="15"/>
        <v>2</v>
      </c>
    </row>
    <row r="864" spans="2:11" x14ac:dyDescent="0.35">
      <c r="B864" t="s">
        <v>860</v>
      </c>
      <c r="C864">
        <v>19</v>
      </c>
      <c r="D864">
        <v>2</v>
      </c>
      <c r="E864">
        <v>2</v>
      </c>
      <c r="F864">
        <v>0</v>
      </c>
      <c r="G864">
        <v>0</v>
      </c>
      <c r="H864">
        <v>1</v>
      </c>
      <c r="I864">
        <v>6</v>
      </c>
      <c r="J864">
        <v>9</v>
      </c>
      <c r="K864">
        <f t="shared" si="15"/>
        <v>4</v>
      </c>
    </row>
    <row r="865" spans="2:11" x14ac:dyDescent="0.35">
      <c r="B865" t="s">
        <v>861</v>
      </c>
      <c r="C865">
        <v>22</v>
      </c>
      <c r="D865">
        <v>3</v>
      </c>
      <c r="E865">
        <v>0</v>
      </c>
      <c r="F865">
        <v>0</v>
      </c>
      <c r="G865">
        <v>0</v>
      </c>
      <c r="H865">
        <v>2</v>
      </c>
      <c r="I865">
        <v>3</v>
      </c>
      <c r="J865">
        <v>15</v>
      </c>
      <c r="K865">
        <f t="shared" si="15"/>
        <v>3</v>
      </c>
    </row>
    <row r="866" spans="2:11" x14ac:dyDescent="0.35">
      <c r="B866" t="s">
        <v>862</v>
      </c>
      <c r="C866">
        <v>19</v>
      </c>
      <c r="D866">
        <v>1</v>
      </c>
      <c r="E866">
        <v>0</v>
      </c>
      <c r="F866">
        <v>0</v>
      </c>
      <c r="G866">
        <v>5</v>
      </c>
      <c r="H866">
        <v>0</v>
      </c>
      <c r="I866">
        <v>10</v>
      </c>
      <c r="J866">
        <v>4</v>
      </c>
      <c r="K866">
        <f t="shared" si="15"/>
        <v>3</v>
      </c>
    </row>
    <row r="867" spans="2:11" x14ac:dyDescent="0.35">
      <c r="B867" t="s">
        <v>863</v>
      </c>
      <c r="C867">
        <v>37</v>
      </c>
      <c r="D867">
        <v>4</v>
      </c>
      <c r="E867">
        <v>0</v>
      </c>
      <c r="F867">
        <v>0</v>
      </c>
      <c r="G867">
        <v>2</v>
      </c>
      <c r="H867">
        <v>4</v>
      </c>
      <c r="I867">
        <v>16</v>
      </c>
      <c r="J867">
        <v>12</v>
      </c>
      <c r="K867">
        <f t="shared" si="15"/>
        <v>4</v>
      </c>
    </row>
    <row r="868" spans="2:11" x14ac:dyDescent="0.35">
      <c r="B868" t="s">
        <v>864</v>
      </c>
      <c r="C868">
        <v>45</v>
      </c>
      <c r="D868">
        <v>6</v>
      </c>
      <c r="E868">
        <v>0</v>
      </c>
      <c r="F868">
        <v>0</v>
      </c>
      <c r="G868">
        <v>3</v>
      </c>
      <c r="H868">
        <v>2</v>
      </c>
      <c r="I868">
        <v>21</v>
      </c>
      <c r="J868">
        <v>14</v>
      </c>
      <c r="K868">
        <f t="shared" si="15"/>
        <v>4</v>
      </c>
    </row>
    <row r="869" spans="2:11" x14ac:dyDescent="0.35">
      <c r="B869" t="s">
        <v>865</v>
      </c>
      <c r="C869">
        <v>60</v>
      </c>
      <c r="D869">
        <v>1</v>
      </c>
      <c r="E869">
        <v>0</v>
      </c>
      <c r="F869">
        <v>0</v>
      </c>
      <c r="G869">
        <v>1</v>
      </c>
      <c r="H869">
        <v>9</v>
      </c>
      <c r="I869">
        <v>20</v>
      </c>
      <c r="J869">
        <v>30</v>
      </c>
      <c r="K869">
        <f t="shared" si="15"/>
        <v>4</v>
      </c>
    </row>
    <row r="870" spans="2:11" x14ac:dyDescent="0.35">
      <c r="B870" t="s">
        <v>866</v>
      </c>
      <c r="C870">
        <v>22</v>
      </c>
      <c r="D870">
        <v>1</v>
      </c>
      <c r="E870">
        <v>0</v>
      </c>
      <c r="F870">
        <v>0</v>
      </c>
      <c r="G870">
        <v>0</v>
      </c>
      <c r="H870">
        <v>5</v>
      </c>
      <c r="I870">
        <v>5</v>
      </c>
      <c r="J870">
        <v>12</v>
      </c>
      <c r="K870">
        <f t="shared" si="15"/>
        <v>3</v>
      </c>
    </row>
    <row r="871" spans="2:11" x14ac:dyDescent="0.35">
      <c r="B871" t="s">
        <v>867</v>
      </c>
      <c r="C871">
        <v>10</v>
      </c>
      <c r="D871">
        <v>1</v>
      </c>
      <c r="E871">
        <v>0</v>
      </c>
      <c r="F871">
        <v>0</v>
      </c>
      <c r="G871">
        <v>0</v>
      </c>
      <c r="H871">
        <v>0</v>
      </c>
      <c r="I871">
        <v>1</v>
      </c>
      <c r="J871">
        <v>9</v>
      </c>
      <c r="K871">
        <f t="shared" si="15"/>
        <v>2</v>
      </c>
    </row>
    <row r="872" spans="2:11" x14ac:dyDescent="0.35">
      <c r="B872" t="s">
        <v>868</v>
      </c>
      <c r="C872">
        <v>10</v>
      </c>
      <c r="D872">
        <v>2</v>
      </c>
      <c r="E872">
        <v>0</v>
      </c>
      <c r="F872">
        <v>0</v>
      </c>
      <c r="G872">
        <v>0</v>
      </c>
      <c r="H872">
        <v>0</v>
      </c>
      <c r="I872">
        <v>5</v>
      </c>
      <c r="J872">
        <v>4</v>
      </c>
      <c r="K872">
        <f t="shared" si="15"/>
        <v>2</v>
      </c>
    </row>
    <row r="873" spans="2:11" x14ac:dyDescent="0.35">
      <c r="B873" t="s">
        <v>869</v>
      </c>
      <c r="C873">
        <v>15</v>
      </c>
      <c r="D873">
        <v>1</v>
      </c>
      <c r="E873">
        <v>0</v>
      </c>
      <c r="F873">
        <v>0</v>
      </c>
      <c r="G873">
        <v>5</v>
      </c>
      <c r="H873">
        <v>1</v>
      </c>
      <c r="I873">
        <v>1</v>
      </c>
      <c r="J873">
        <v>8</v>
      </c>
      <c r="K873">
        <f t="shared" si="15"/>
        <v>4</v>
      </c>
    </row>
    <row r="874" spans="2:11" x14ac:dyDescent="0.35">
      <c r="B874" t="s">
        <v>870</v>
      </c>
      <c r="C874">
        <v>9</v>
      </c>
      <c r="D874">
        <v>1</v>
      </c>
      <c r="E874">
        <v>0</v>
      </c>
      <c r="F874">
        <v>0</v>
      </c>
      <c r="G874">
        <v>0</v>
      </c>
      <c r="H874">
        <v>0</v>
      </c>
      <c r="I874">
        <v>8</v>
      </c>
      <c r="J874">
        <v>1</v>
      </c>
      <c r="K874">
        <f t="shared" si="15"/>
        <v>2</v>
      </c>
    </row>
    <row r="875" spans="2:11" x14ac:dyDescent="0.35">
      <c r="B875" t="s">
        <v>871</v>
      </c>
      <c r="C875">
        <v>31</v>
      </c>
      <c r="D875">
        <v>0</v>
      </c>
      <c r="E875">
        <v>0</v>
      </c>
      <c r="F875">
        <v>0</v>
      </c>
      <c r="G875">
        <v>0</v>
      </c>
      <c r="H875">
        <v>2</v>
      </c>
      <c r="I875">
        <v>4</v>
      </c>
      <c r="J875">
        <v>26</v>
      </c>
      <c r="K875">
        <f t="shared" si="15"/>
        <v>2</v>
      </c>
    </row>
    <row r="876" spans="2:11" x14ac:dyDescent="0.35">
      <c r="B876" t="s">
        <v>872</v>
      </c>
      <c r="C876">
        <v>13</v>
      </c>
      <c r="D876">
        <v>0</v>
      </c>
      <c r="E876">
        <v>0</v>
      </c>
      <c r="F876">
        <v>0</v>
      </c>
      <c r="G876">
        <v>0</v>
      </c>
      <c r="H876">
        <v>2</v>
      </c>
      <c r="I876">
        <v>5</v>
      </c>
      <c r="J876">
        <v>7</v>
      </c>
      <c r="K876">
        <f t="shared" si="15"/>
        <v>2</v>
      </c>
    </row>
    <row r="877" spans="2:11" x14ac:dyDescent="0.35">
      <c r="B877" t="s">
        <v>873</v>
      </c>
      <c r="C877">
        <v>129</v>
      </c>
      <c r="D877">
        <v>5</v>
      </c>
      <c r="E877">
        <v>0</v>
      </c>
      <c r="F877">
        <v>0</v>
      </c>
      <c r="G877">
        <v>11</v>
      </c>
      <c r="H877">
        <v>24</v>
      </c>
      <c r="I877">
        <v>21</v>
      </c>
      <c r="J877">
        <v>69</v>
      </c>
      <c r="K877">
        <f t="shared" si="15"/>
        <v>4</v>
      </c>
    </row>
    <row r="878" spans="2:11" x14ac:dyDescent="0.35">
      <c r="B878" t="s">
        <v>874</v>
      </c>
      <c r="C878">
        <v>21</v>
      </c>
      <c r="D878">
        <v>3</v>
      </c>
      <c r="E878">
        <v>0</v>
      </c>
      <c r="F878">
        <v>1</v>
      </c>
      <c r="G878">
        <v>8</v>
      </c>
      <c r="H878">
        <v>0</v>
      </c>
      <c r="I878">
        <v>7</v>
      </c>
      <c r="J878">
        <v>3</v>
      </c>
      <c r="K878">
        <f t="shared" si="15"/>
        <v>4</v>
      </c>
    </row>
    <row r="879" spans="2:11" x14ac:dyDescent="0.35">
      <c r="B879" t="s">
        <v>875</v>
      </c>
      <c r="C879">
        <v>4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1</v>
      </c>
      <c r="J879">
        <v>4</v>
      </c>
      <c r="K879">
        <f t="shared" si="15"/>
        <v>1</v>
      </c>
    </row>
    <row r="880" spans="2:11" x14ac:dyDescent="0.35">
      <c r="B880" t="s">
        <v>876</v>
      </c>
      <c r="C880">
        <v>38</v>
      </c>
      <c r="D880">
        <v>0</v>
      </c>
      <c r="E880">
        <v>0</v>
      </c>
      <c r="F880">
        <v>1</v>
      </c>
      <c r="G880">
        <v>0</v>
      </c>
      <c r="H880">
        <v>8</v>
      </c>
      <c r="I880">
        <v>15</v>
      </c>
      <c r="J880">
        <v>15</v>
      </c>
      <c r="K880">
        <f t="shared" si="15"/>
        <v>3</v>
      </c>
    </row>
    <row r="881" spans="2:11" x14ac:dyDescent="0.35">
      <c r="B881" t="s">
        <v>877</v>
      </c>
      <c r="C881">
        <v>18</v>
      </c>
      <c r="D881">
        <v>0</v>
      </c>
      <c r="E881">
        <v>0</v>
      </c>
      <c r="F881">
        <v>0</v>
      </c>
      <c r="G881">
        <v>0</v>
      </c>
      <c r="H881">
        <v>10</v>
      </c>
      <c r="I881">
        <v>3</v>
      </c>
      <c r="J881">
        <v>6</v>
      </c>
      <c r="K881">
        <f t="shared" si="15"/>
        <v>2</v>
      </c>
    </row>
    <row r="882" spans="2:11" x14ac:dyDescent="0.35">
      <c r="B882" t="s">
        <v>878</v>
      </c>
      <c r="C882">
        <v>37</v>
      </c>
      <c r="D882">
        <v>3</v>
      </c>
      <c r="E882">
        <v>1</v>
      </c>
      <c r="F882">
        <v>2</v>
      </c>
      <c r="G882">
        <v>6</v>
      </c>
      <c r="H882">
        <v>3</v>
      </c>
      <c r="I882">
        <v>12</v>
      </c>
      <c r="J882">
        <v>11</v>
      </c>
      <c r="K882">
        <f t="shared" si="15"/>
        <v>6</v>
      </c>
    </row>
    <row r="883" spans="2:11" x14ac:dyDescent="0.35">
      <c r="B883" t="s">
        <v>879</v>
      </c>
      <c r="C883">
        <v>21</v>
      </c>
      <c r="D883">
        <v>2</v>
      </c>
      <c r="E883">
        <v>0</v>
      </c>
      <c r="F883">
        <v>0</v>
      </c>
      <c r="G883">
        <v>10</v>
      </c>
      <c r="H883">
        <v>3</v>
      </c>
      <c r="I883">
        <v>2</v>
      </c>
      <c r="J883">
        <v>5</v>
      </c>
      <c r="K883">
        <f t="shared" si="15"/>
        <v>4</v>
      </c>
    </row>
    <row r="884" spans="2:11" x14ac:dyDescent="0.35">
      <c r="B884" t="s">
        <v>880</v>
      </c>
      <c r="C884">
        <v>21</v>
      </c>
      <c r="D884">
        <v>1</v>
      </c>
      <c r="E884">
        <v>0</v>
      </c>
      <c r="F884">
        <v>0</v>
      </c>
      <c r="G884">
        <v>0</v>
      </c>
      <c r="H884">
        <v>3</v>
      </c>
      <c r="I884">
        <v>1</v>
      </c>
      <c r="J884">
        <v>17</v>
      </c>
      <c r="K884">
        <f t="shared" si="15"/>
        <v>3</v>
      </c>
    </row>
    <row r="885" spans="2:11" x14ac:dyDescent="0.35">
      <c r="B885" t="s">
        <v>881</v>
      </c>
      <c r="C885">
        <v>17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6</v>
      </c>
      <c r="J885">
        <v>12</v>
      </c>
      <c r="K885">
        <f t="shared" si="15"/>
        <v>1</v>
      </c>
    </row>
    <row r="886" spans="2:11" x14ac:dyDescent="0.35">
      <c r="B886" t="s">
        <v>882</v>
      </c>
      <c r="C886">
        <v>5</v>
      </c>
      <c r="D886">
        <v>0</v>
      </c>
      <c r="E886">
        <v>0</v>
      </c>
      <c r="F886">
        <v>0</v>
      </c>
      <c r="G886">
        <v>0</v>
      </c>
      <c r="H886">
        <v>3</v>
      </c>
      <c r="I886">
        <v>1</v>
      </c>
      <c r="J886">
        <v>2</v>
      </c>
      <c r="K886">
        <f t="shared" si="15"/>
        <v>2</v>
      </c>
    </row>
    <row r="887" spans="2:11" x14ac:dyDescent="0.35">
      <c r="B887" t="s">
        <v>883</v>
      </c>
      <c r="C887">
        <v>13</v>
      </c>
      <c r="D887">
        <v>0</v>
      </c>
      <c r="E887">
        <v>0</v>
      </c>
      <c r="F887">
        <v>0</v>
      </c>
      <c r="G887">
        <v>0</v>
      </c>
      <c r="H887">
        <v>1</v>
      </c>
      <c r="I887">
        <v>1</v>
      </c>
      <c r="J887">
        <v>12</v>
      </c>
      <c r="K887">
        <f t="shared" si="15"/>
        <v>2</v>
      </c>
    </row>
    <row r="888" spans="2:11" x14ac:dyDescent="0.35">
      <c r="B888" t="s">
        <v>884</v>
      </c>
      <c r="C888">
        <v>40</v>
      </c>
      <c r="D888">
        <v>4</v>
      </c>
      <c r="E888">
        <v>0</v>
      </c>
      <c r="F888">
        <v>1</v>
      </c>
      <c r="G888">
        <v>2</v>
      </c>
      <c r="H888">
        <v>3</v>
      </c>
      <c r="I888">
        <v>19</v>
      </c>
      <c r="J888">
        <v>12</v>
      </c>
      <c r="K888">
        <f t="shared" si="15"/>
        <v>5</v>
      </c>
    </row>
    <row r="889" spans="2:11" x14ac:dyDescent="0.35">
      <c r="B889" t="s">
        <v>885</v>
      </c>
      <c r="C889">
        <v>41</v>
      </c>
      <c r="D889">
        <v>9</v>
      </c>
      <c r="E889">
        <v>0</v>
      </c>
      <c r="F889">
        <v>0</v>
      </c>
      <c r="G889">
        <v>9</v>
      </c>
      <c r="H889">
        <v>2</v>
      </c>
      <c r="I889">
        <v>6</v>
      </c>
      <c r="J889">
        <v>16</v>
      </c>
      <c r="K889">
        <f t="shared" si="15"/>
        <v>4</v>
      </c>
    </row>
    <row r="890" spans="2:11" x14ac:dyDescent="0.35">
      <c r="B890" t="s">
        <v>886</v>
      </c>
      <c r="C890">
        <v>50</v>
      </c>
      <c r="D890">
        <v>4</v>
      </c>
      <c r="E890">
        <v>0</v>
      </c>
      <c r="F890">
        <v>0</v>
      </c>
      <c r="G890">
        <v>8</v>
      </c>
      <c r="H890">
        <v>4</v>
      </c>
      <c r="I890">
        <v>18</v>
      </c>
      <c r="J890">
        <v>17</v>
      </c>
      <c r="K890">
        <f t="shared" si="15"/>
        <v>4</v>
      </c>
    </row>
    <row r="891" spans="2:11" x14ac:dyDescent="0.35">
      <c r="B891" t="s">
        <v>887</v>
      </c>
      <c r="C891">
        <v>103</v>
      </c>
      <c r="D891">
        <v>8</v>
      </c>
      <c r="E891">
        <v>1</v>
      </c>
      <c r="F891">
        <v>0</v>
      </c>
      <c r="G891">
        <v>5</v>
      </c>
      <c r="H891">
        <v>11</v>
      </c>
      <c r="I891">
        <v>38</v>
      </c>
      <c r="J891">
        <v>41</v>
      </c>
      <c r="K891">
        <f t="shared" si="15"/>
        <v>5</v>
      </c>
    </row>
    <row r="892" spans="2:11" x14ac:dyDescent="0.35">
      <c r="B892" t="s">
        <v>888</v>
      </c>
      <c r="C892">
        <v>11</v>
      </c>
      <c r="D892">
        <v>3</v>
      </c>
      <c r="E892">
        <v>0</v>
      </c>
      <c r="F892">
        <v>0</v>
      </c>
      <c r="G892">
        <v>0</v>
      </c>
      <c r="H892">
        <v>1</v>
      </c>
      <c r="I892">
        <v>6</v>
      </c>
      <c r="J892">
        <v>2</v>
      </c>
      <c r="K892">
        <f t="shared" si="15"/>
        <v>3</v>
      </c>
    </row>
    <row r="893" spans="2:11" x14ac:dyDescent="0.35">
      <c r="B893" t="s">
        <v>889</v>
      </c>
      <c r="C893">
        <v>5</v>
      </c>
      <c r="D893">
        <v>0</v>
      </c>
      <c r="E893">
        <v>0</v>
      </c>
      <c r="F893">
        <v>0</v>
      </c>
      <c r="G893">
        <v>0</v>
      </c>
      <c r="H893">
        <v>1</v>
      </c>
      <c r="I893">
        <v>2</v>
      </c>
      <c r="J893">
        <v>3</v>
      </c>
      <c r="K893">
        <f t="shared" si="15"/>
        <v>2</v>
      </c>
    </row>
    <row r="894" spans="2:11" x14ac:dyDescent="0.35">
      <c r="B894" t="s">
        <v>890</v>
      </c>
      <c r="C894">
        <v>17</v>
      </c>
      <c r="D894">
        <v>4</v>
      </c>
      <c r="E894">
        <v>0</v>
      </c>
      <c r="F894">
        <v>1</v>
      </c>
      <c r="G894">
        <v>0</v>
      </c>
      <c r="H894">
        <v>0</v>
      </c>
      <c r="I894">
        <v>1</v>
      </c>
      <c r="J894">
        <v>12</v>
      </c>
      <c r="K894">
        <f t="shared" si="15"/>
        <v>3</v>
      </c>
    </row>
    <row r="895" spans="2:11" x14ac:dyDescent="0.35">
      <c r="B895" t="s">
        <v>891</v>
      </c>
      <c r="C895">
        <v>18</v>
      </c>
      <c r="D895">
        <v>3</v>
      </c>
      <c r="E895">
        <v>0</v>
      </c>
      <c r="F895">
        <v>0</v>
      </c>
      <c r="G895">
        <v>0</v>
      </c>
      <c r="H895">
        <v>4</v>
      </c>
      <c r="I895">
        <v>3</v>
      </c>
      <c r="J895">
        <v>9</v>
      </c>
      <c r="K895">
        <f t="shared" si="15"/>
        <v>3</v>
      </c>
    </row>
    <row r="896" spans="2:11" x14ac:dyDescent="0.35">
      <c r="B896" t="s">
        <v>892</v>
      </c>
      <c r="C896">
        <v>59</v>
      </c>
      <c r="D896">
        <v>0</v>
      </c>
      <c r="E896">
        <v>2</v>
      </c>
      <c r="F896">
        <v>3</v>
      </c>
      <c r="G896">
        <v>0</v>
      </c>
      <c r="H896">
        <v>16</v>
      </c>
      <c r="I896">
        <v>13</v>
      </c>
      <c r="J896">
        <v>26</v>
      </c>
      <c r="K896">
        <f t="shared" si="15"/>
        <v>4</v>
      </c>
    </row>
    <row r="897" spans="2:11" x14ac:dyDescent="0.35">
      <c r="B897" t="s">
        <v>893</v>
      </c>
      <c r="C897">
        <v>18</v>
      </c>
      <c r="D897">
        <v>1</v>
      </c>
      <c r="E897">
        <v>0</v>
      </c>
      <c r="F897">
        <v>0</v>
      </c>
      <c r="G897">
        <v>1</v>
      </c>
      <c r="H897">
        <v>1</v>
      </c>
      <c r="I897">
        <v>3</v>
      </c>
      <c r="J897">
        <v>13</v>
      </c>
      <c r="K897">
        <f t="shared" si="15"/>
        <v>4</v>
      </c>
    </row>
    <row r="898" spans="2:11" x14ac:dyDescent="0.35">
      <c r="B898" t="s">
        <v>894</v>
      </c>
      <c r="C898">
        <v>11</v>
      </c>
      <c r="D898">
        <v>1</v>
      </c>
      <c r="E898">
        <v>0</v>
      </c>
      <c r="F898">
        <v>0</v>
      </c>
      <c r="G898">
        <v>2</v>
      </c>
      <c r="H898">
        <v>1</v>
      </c>
      <c r="I898">
        <v>2</v>
      </c>
      <c r="J898">
        <v>6</v>
      </c>
      <c r="K898">
        <f t="shared" si="15"/>
        <v>4</v>
      </c>
    </row>
    <row r="899" spans="2:11" x14ac:dyDescent="0.35">
      <c r="B899" t="s">
        <v>895</v>
      </c>
      <c r="C899">
        <v>5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6</v>
      </c>
      <c r="K899">
        <f t="shared" si="15"/>
        <v>0</v>
      </c>
    </row>
    <row r="900" spans="2:11" x14ac:dyDescent="0.35">
      <c r="B900" t="s">
        <v>896</v>
      </c>
      <c r="C900">
        <v>15</v>
      </c>
      <c r="D900">
        <v>0</v>
      </c>
      <c r="E900">
        <v>0</v>
      </c>
      <c r="F900">
        <v>1</v>
      </c>
      <c r="G900">
        <v>0</v>
      </c>
      <c r="H900">
        <v>2</v>
      </c>
      <c r="I900">
        <v>5</v>
      </c>
      <c r="J900">
        <v>8</v>
      </c>
      <c r="K900">
        <f t="shared" si="15"/>
        <v>3</v>
      </c>
    </row>
    <row r="901" spans="2:11" x14ac:dyDescent="0.35">
      <c r="B901" t="s">
        <v>897</v>
      </c>
      <c r="C901">
        <v>42</v>
      </c>
      <c r="D901">
        <v>0</v>
      </c>
      <c r="E901">
        <v>1</v>
      </c>
      <c r="F901">
        <v>2</v>
      </c>
      <c r="G901">
        <v>8</v>
      </c>
      <c r="H901">
        <v>3</v>
      </c>
      <c r="I901">
        <v>15</v>
      </c>
      <c r="J901">
        <v>14</v>
      </c>
      <c r="K901">
        <f t="shared" si="15"/>
        <v>5</v>
      </c>
    </row>
    <row r="902" spans="2:11" x14ac:dyDescent="0.35">
      <c r="B902" t="s">
        <v>898</v>
      </c>
      <c r="C902">
        <v>27</v>
      </c>
      <c r="D902">
        <v>3</v>
      </c>
      <c r="E902">
        <v>3</v>
      </c>
      <c r="F902">
        <v>0</v>
      </c>
      <c r="G902">
        <v>5</v>
      </c>
      <c r="H902">
        <v>3</v>
      </c>
      <c r="I902">
        <v>6</v>
      </c>
      <c r="J902">
        <v>8</v>
      </c>
      <c r="K902">
        <f t="shared" si="15"/>
        <v>5</v>
      </c>
    </row>
    <row r="903" spans="2:11" x14ac:dyDescent="0.35">
      <c r="B903" t="s">
        <v>899</v>
      </c>
      <c r="C903">
        <v>8</v>
      </c>
      <c r="D903">
        <v>1</v>
      </c>
      <c r="E903">
        <v>0</v>
      </c>
      <c r="F903">
        <v>0</v>
      </c>
      <c r="G903">
        <v>0</v>
      </c>
      <c r="H903">
        <v>1</v>
      </c>
      <c r="I903">
        <v>5</v>
      </c>
      <c r="J903">
        <v>2</v>
      </c>
      <c r="K903">
        <f t="shared" si="15"/>
        <v>3</v>
      </c>
    </row>
    <row r="904" spans="2:11" x14ac:dyDescent="0.35">
      <c r="B904" t="s">
        <v>900</v>
      </c>
      <c r="C904">
        <v>5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3</v>
      </c>
      <c r="J904">
        <v>3</v>
      </c>
      <c r="K904">
        <f t="shared" si="15"/>
        <v>1</v>
      </c>
    </row>
    <row r="905" spans="2:11" x14ac:dyDescent="0.35">
      <c r="B905" t="s">
        <v>901</v>
      </c>
      <c r="C905">
        <v>5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3</v>
      </c>
      <c r="J905">
        <v>3</v>
      </c>
      <c r="K905">
        <f t="shared" si="15"/>
        <v>1</v>
      </c>
    </row>
    <row r="906" spans="2:11" x14ac:dyDescent="0.35">
      <c r="B906" t="s">
        <v>902</v>
      </c>
      <c r="C906">
        <v>21</v>
      </c>
      <c r="D906">
        <v>1</v>
      </c>
      <c r="E906">
        <v>4</v>
      </c>
      <c r="F906">
        <v>0</v>
      </c>
      <c r="G906">
        <v>0</v>
      </c>
      <c r="H906">
        <v>1</v>
      </c>
      <c r="I906">
        <v>8</v>
      </c>
      <c r="J906">
        <v>8</v>
      </c>
      <c r="K906">
        <f t="shared" si="15"/>
        <v>4</v>
      </c>
    </row>
    <row r="907" spans="2:11" x14ac:dyDescent="0.35">
      <c r="B907" t="s">
        <v>903</v>
      </c>
      <c r="C907">
        <v>45</v>
      </c>
      <c r="D907">
        <v>0</v>
      </c>
      <c r="E907">
        <v>0</v>
      </c>
      <c r="F907">
        <v>0</v>
      </c>
      <c r="G907">
        <v>7</v>
      </c>
      <c r="H907">
        <v>1</v>
      </c>
      <c r="I907">
        <v>15</v>
      </c>
      <c r="J907">
        <v>23</v>
      </c>
      <c r="K907">
        <f t="shared" si="15"/>
        <v>3</v>
      </c>
    </row>
    <row r="908" spans="2:11" x14ac:dyDescent="0.35">
      <c r="B908" t="s">
        <v>904</v>
      </c>
      <c r="C908">
        <v>10</v>
      </c>
      <c r="D908">
        <v>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10</v>
      </c>
      <c r="K908">
        <f t="shared" ref="K908:K971" si="16">COUNTIF(D908:I908, "&gt;0")</f>
        <v>1</v>
      </c>
    </row>
    <row r="909" spans="2:11" x14ac:dyDescent="0.35">
      <c r="B909" t="s">
        <v>905</v>
      </c>
      <c r="C909">
        <v>56</v>
      </c>
      <c r="D909">
        <v>2</v>
      </c>
      <c r="E909">
        <v>0</v>
      </c>
      <c r="F909">
        <v>1</v>
      </c>
      <c r="G909">
        <v>5</v>
      </c>
      <c r="H909">
        <v>5</v>
      </c>
      <c r="I909">
        <v>16</v>
      </c>
      <c r="J909">
        <v>28</v>
      </c>
      <c r="K909">
        <f t="shared" si="16"/>
        <v>5</v>
      </c>
    </row>
    <row r="910" spans="2:11" x14ac:dyDescent="0.35">
      <c r="B910" t="s">
        <v>906</v>
      </c>
      <c r="C910">
        <v>11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4</v>
      </c>
      <c r="J910">
        <v>8</v>
      </c>
      <c r="K910">
        <f t="shared" si="16"/>
        <v>1</v>
      </c>
    </row>
    <row r="911" spans="2:11" x14ac:dyDescent="0.35">
      <c r="B911" t="s">
        <v>907</v>
      </c>
      <c r="C911">
        <v>70</v>
      </c>
      <c r="D911">
        <v>5</v>
      </c>
      <c r="E911">
        <v>0</v>
      </c>
      <c r="F911">
        <v>0</v>
      </c>
      <c r="G911">
        <v>14</v>
      </c>
      <c r="H911">
        <v>6</v>
      </c>
      <c r="I911">
        <v>32</v>
      </c>
      <c r="J911">
        <v>14</v>
      </c>
      <c r="K911">
        <f t="shared" si="16"/>
        <v>4</v>
      </c>
    </row>
    <row r="912" spans="2:11" x14ac:dyDescent="0.35">
      <c r="B912" t="s">
        <v>908</v>
      </c>
      <c r="C912">
        <v>33</v>
      </c>
      <c r="D912">
        <v>1</v>
      </c>
      <c r="E912">
        <v>0</v>
      </c>
      <c r="F912">
        <v>15</v>
      </c>
      <c r="G912">
        <v>2</v>
      </c>
      <c r="H912">
        <v>0</v>
      </c>
      <c r="I912">
        <v>5</v>
      </c>
      <c r="J912">
        <v>11</v>
      </c>
      <c r="K912">
        <f t="shared" si="16"/>
        <v>4</v>
      </c>
    </row>
    <row r="913" spans="2:11" x14ac:dyDescent="0.35">
      <c r="B913" t="s">
        <v>909</v>
      </c>
      <c r="C913">
        <v>19</v>
      </c>
      <c r="D913">
        <v>0</v>
      </c>
      <c r="E913">
        <v>0</v>
      </c>
      <c r="F913">
        <v>0</v>
      </c>
      <c r="G913">
        <v>1</v>
      </c>
      <c r="H913">
        <v>0</v>
      </c>
      <c r="I913">
        <v>8</v>
      </c>
      <c r="J913">
        <v>11</v>
      </c>
      <c r="K913">
        <f t="shared" si="16"/>
        <v>2</v>
      </c>
    </row>
    <row r="914" spans="2:11" x14ac:dyDescent="0.35">
      <c r="B914" t="s">
        <v>910</v>
      </c>
      <c r="C914">
        <v>45</v>
      </c>
      <c r="D914">
        <v>4</v>
      </c>
      <c r="E914">
        <v>0</v>
      </c>
      <c r="F914">
        <v>0</v>
      </c>
      <c r="G914">
        <v>5</v>
      </c>
      <c r="H914">
        <v>6</v>
      </c>
      <c r="I914">
        <v>19</v>
      </c>
      <c r="J914">
        <v>12</v>
      </c>
      <c r="K914">
        <f t="shared" si="16"/>
        <v>4</v>
      </c>
    </row>
    <row r="915" spans="2:11" x14ac:dyDescent="0.35">
      <c r="B915" t="s">
        <v>911</v>
      </c>
      <c r="C915">
        <v>42</v>
      </c>
      <c r="D915">
        <v>1</v>
      </c>
      <c r="E915">
        <v>0</v>
      </c>
      <c r="F915">
        <v>0</v>
      </c>
      <c r="G915">
        <v>10</v>
      </c>
      <c r="H915">
        <v>0</v>
      </c>
      <c r="I915">
        <v>11</v>
      </c>
      <c r="J915">
        <v>21</v>
      </c>
      <c r="K915">
        <f t="shared" si="16"/>
        <v>3</v>
      </c>
    </row>
    <row r="916" spans="2:11" x14ac:dyDescent="0.35">
      <c r="B916" t="s">
        <v>912</v>
      </c>
      <c r="C916">
        <v>35</v>
      </c>
      <c r="D916">
        <v>4</v>
      </c>
      <c r="E916">
        <v>0</v>
      </c>
      <c r="F916">
        <v>0</v>
      </c>
      <c r="G916">
        <v>1</v>
      </c>
      <c r="H916">
        <v>9</v>
      </c>
      <c r="I916">
        <v>7</v>
      </c>
      <c r="J916">
        <v>15</v>
      </c>
      <c r="K916">
        <f t="shared" si="16"/>
        <v>4</v>
      </c>
    </row>
    <row r="917" spans="2:11" x14ac:dyDescent="0.35">
      <c r="B917" t="s">
        <v>913</v>
      </c>
      <c r="C917">
        <v>9</v>
      </c>
      <c r="D917">
        <v>2</v>
      </c>
      <c r="E917">
        <v>0</v>
      </c>
      <c r="F917">
        <v>0</v>
      </c>
      <c r="G917">
        <v>2</v>
      </c>
      <c r="H917">
        <v>1</v>
      </c>
      <c r="I917">
        <v>0</v>
      </c>
      <c r="J917">
        <v>5</v>
      </c>
      <c r="K917">
        <f t="shared" si="16"/>
        <v>3</v>
      </c>
    </row>
    <row r="918" spans="2:11" x14ac:dyDescent="0.35">
      <c r="B918" t="s">
        <v>914</v>
      </c>
      <c r="C918">
        <v>9</v>
      </c>
      <c r="D918">
        <v>0</v>
      </c>
      <c r="E918">
        <v>0</v>
      </c>
      <c r="F918">
        <v>0</v>
      </c>
      <c r="G918">
        <v>1</v>
      </c>
      <c r="H918">
        <v>1</v>
      </c>
      <c r="I918">
        <v>4</v>
      </c>
      <c r="J918">
        <v>4</v>
      </c>
      <c r="K918">
        <f t="shared" si="16"/>
        <v>3</v>
      </c>
    </row>
    <row r="919" spans="2:11" x14ac:dyDescent="0.35">
      <c r="B919" t="s">
        <v>915</v>
      </c>
      <c r="C919">
        <v>15</v>
      </c>
      <c r="D919">
        <v>5</v>
      </c>
      <c r="E919">
        <v>0</v>
      </c>
      <c r="F919">
        <v>0</v>
      </c>
      <c r="G919">
        <v>2</v>
      </c>
      <c r="H919">
        <v>1</v>
      </c>
      <c r="I919">
        <v>5</v>
      </c>
      <c r="J919">
        <v>3</v>
      </c>
      <c r="K919">
        <f t="shared" si="16"/>
        <v>4</v>
      </c>
    </row>
    <row r="920" spans="2:11" x14ac:dyDescent="0.35">
      <c r="B920" t="s">
        <v>916</v>
      </c>
      <c r="C920">
        <v>33</v>
      </c>
      <c r="D920">
        <v>3</v>
      </c>
      <c r="E920">
        <v>0</v>
      </c>
      <c r="F920">
        <v>0</v>
      </c>
      <c r="G920">
        <v>10</v>
      </c>
      <c r="H920">
        <v>0</v>
      </c>
      <c r="I920">
        <v>11</v>
      </c>
      <c r="J920">
        <v>10</v>
      </c>
      <c r="K920">
        <f t="shared" si="16"/>
        <v>3</v>
      </c>
    </row>
    <row r="921" spans="2:11" x14ac:dyDescent="0.35">
      <c r="B921" t="s">
        <v>917</v>
      </c>
      <c r="C921">
        <v>48</v>
      </c>
      <c r="D921">
        <v>2</v>
      </c>
      <c r="E921">
        <v>0</v>
      </c>
      <c r="F921">
        <v>0</v>
      </c>
      <c r="G921">
        <v>9</v>
      </c>
      <c r="H921">
        <v>6</v>
      </c>
      <c r="I921">
        <v>17</v>
      </c>
      <c r="J921">
        <v>15</v>
      </c>
      <c r="K921">
        <f t="shared" si="16"/>
        <v>4</v>
      </c>
    </row>
    <row r="922" spans="2:11" x14ac:dyDescent="0.35">
      <c r="B922" t="s">
        <v>918</v>
      </c>
      <c r="C922">
        <v>8</v>
      </c>
      <c r="D922">
        <v>1</v>
      </c>
      <c r="E922">
        <v>0</v>
      </c>
      <c r="F922">
        <v>0</v>
      </c>
      <c r="G922">
        <v>5</v>
      </c>
      <c r="H922">
        <v>0</v>
      </c>
      <c r="I922">
        <v>1</v>
      </c>
      <c r="J922">
        <v>2</v>
      </c>
      <c r="K922">
        <f t="shared" si="16"/>
        <v>3</v>
      </c>
    </row>
    <row r="923" spans="2:11" x14ac:dyDescent="0.35">
      <c r="B923" t="s">
        <v>919</v>
      </c>
      <c r="C923">
        <v>55</v>
      </c>
      <c r="D923">
        <v>4</v>
      </c>
      <c r="E923">
        <v>0</v>
      </c>
      <c r="F923">
        <v>0</v>
      </c>
      <c r="G923">
        <v>12</v>
      </c>
      <c r="H923">
        <v>4</v>
      </c>
      <c r="I923">
        <v>16</v>
      </c>
      <c r="J923">
        <v>20</v>
      </c>
      <c r="K923">
        <f t="shared" si="16"/>
        <v>4</v>
      </c>
    </row>
    <row r="924" spans="2:11" x14ac:dyDescent="0.35">
      <c r="B924" t="s">
        <v>920</v>
      </c>
      <c r="C924">
        <v>79</v>
      </c>
      <c r="D924">
        <v>3</v>
      </c>
      <c r="E924">
        <v>1</v>
      </c>
      <c r="F924">
        <v>2</v>
      </c>
      <c r="G924">
        <v>0</v>
      </c>
      <c r="H924">
        <v>1</v>
      </c>
      <c r="I924">
        <v>24</v>
      </c>
      <c r="J924">
        <v>49</v>
      </c>
      <c r="K924">
        <f t="shared" si="16"/>
        <v>5</v>
      </c>
    </row>
    <row r="925" spans="2:11" x14ac:dyDescent="0.35">
      <c r="B925" t="s">
        <v>921</v>
      </c>
      <c r="C925">
        <v>37</v>
      </c>
      <c r="D925">
        <v>2</v>
      </c>
      <c r="E925">
        <v>1</v>
      </c>
      <c r="F925">
        <v>1</v>
      </c>
      <c r="G925">
        <v>0</v>
      </c>
      <c r="H925">
        <v>2</v>
      </c>
      <c r="I925">
        <v>20</v>
      </c>
      <c r="J925">
        <v>12</v>
      </c>
      <c r="K925">
        <f t="shared" si="16"/>
        <v>5</v>
      </c>
    </row>
    <row r="926" spans="2:11" x14ac:dyDescent="0.35">
      <c r="B926" t="s">
        <v>922</v>
      </c>
      <c r="C926">
        <v>23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13</v>
      </c>
      <c r="J926">
        <v>11</v>
      </c>
      <c r="K926">
        <f t="shared" si="16"/>
        <v>1</v>
      </c>
    </row>
    <row r="927" spans="2:11" x14ac:dyDescent="0.35">
      <c r="B927" t="s">
        <v>923</v>
      </c>
      <c r="C927">
        <v>12</v>
      </c>
      <c r="D927">
        <v>3</v>
      </c>
      <c r="E927">
        <v>0</v>
      </c>
      <c r="F927">
        <v>0</v>
      </c>
      <c r="G927">
        <v>0</v>
      </c>
      <c r="H927">
        <v>0</v>
      </c>
      <c r="I927">
        <v>2</v>
      </c>
      <c r="J927">
        <v>8</v>
      </c>
      <c r="K927">
        <f t="shared" si="16"/>
        <v>2</v>
      </c>
    </row>
    <row r="928" spans="2:11" x14ac:dyDescent="0.35">
      <c r="B928" t="s">
        <v>924</v>
      </c>
      <c r="C928">
        <v>6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1</v>
      </c>
      <c r="J928">
        <v>6</v>
      </c>
      <c r="K928">
        <f t="shared" si="16"/>
        <v>1</v>
      </c>
    </row>
    <row r="929" spans="2:11" x14ac:dyDescent="0.35">
      <c r="B929" t="s">
        <v>925</v>
      </c>
      <c r="C929">
        <v>8</v>
      </c>
      <c r="D929">
        <v>1</v>
      </c>
      <c r="E929">
        <v>0</v>
      </c>
      <c r="F929">
        <v>0</v>
      </c>
      <c r="G929">
        <v>0</v>
      </c>
      <c r="H929">
        <v>0</v>
      </c>
      <c r="I929">
        <v>2</v>
      </c>
      <c r="J929">
        <v>6</v>
      </c>
      <c r="K929">
        <f t="shared" si="16"/>
        <v>2</v>
      </c>
    </row>
    <row r="930" spans="2:11" x14ac:dyDescent="0.35">
      <c r="B930" t="s">
        <v>926</v>
      </c>
      <c r="C930">
        <v>13</v>
      </c>
      <c r="D930">
        <v>0</v>
      </c>
      <c r="E930">
        <v>0</v>
      </c>
      <c r="F930">
        <v>1</v>
      </c>
      <c r="G930">
        <v>5</v>
      </c>
      <c r="H930">
        <v>0</v>
      </c>
      <c r="I930">
        <v>6</v>
      </c>
      <c r="J930">
        <v>2</v>
      </c>
      <c r="K930">
        <f t="shared" si="16"/>
        <v>3</v>
      </c>
    </row>
    <row r="931" spans="2:11" x14ac:dyDescent="0.35">
      <c r="B931" t="s">
        <v>927</v>
      </c>
      <c r="C931">
        <v>30</v>
      </c>
      <c r="D931">
        <v>3</v>
      </c>
      <c r="E931">
        <v>0</v>
      </c>
      <c r="F931">
        <v>0</v>
      </c>
      <c r="G931">
        <v>0</v>
      </c>
      <c r="H931">
        <v>5</v>
      </c>
      <c r="I931">
        <v>10</v>
      </c>
      <c r="J931">
        <v>13</v>
      </c>
      <c r="K931">
        <f t="shared" si="16"/>
        <v>3</v>
      </c>
    </row>
    <row r="932" spans="2:11" x14ac:dyDescent="0.35">
      <c r="B932" t="s">
        <v>928</v>
      </c>
      <c r="C932">
        <v>35</v>
      </c>
      <c r="D932">
        <v>1</v>
      </c>
      <c r="E932">
        <v>0</v>
      </c>
      <c r="F932">
        <v>2</v>
      </c>
      <c r="G932">
        <v>3</v>
      </c>
      <c r="H932">
        <v>3</v>
      </c>
      <c r="I932">
        <v>16</v>
      </c>
      <c r="J932">
        <v>11</v>
      </c>
      <c r="K932">
        <f t="shared" si="16"/>
        <v>5</v>
      </c>
    </row>
    <row r="933" spans="2:11" x14ac:dyDescent="0.35">
      <c r="B933" t="s">
        <v>929</v>
      </c>
      <c r="C933">
        <v>68</v>
      </c>
      <c r="D933">
        <v>4</v>
      </c>
      <c r="E933">
        <v>0</v>
      </c>
      <c r="F933">
        <v>2</v>
      </c>
      <c r="G933">
        <v>5</v>
      </c>
      <c r="H933">
        <v>7</v>
      </c>
      <c r="I933">
        <v>10</v>
      </c>
      <c r="J933">
        <v>41</v>
      </c>
      <c r="K933">
        <f t="shared" si="16"/>
        <v>5</v>
      </c>
    </row>
    <row r="934" spans="2:11" x14ac:dyDescent="0.35">
      <c r="B934" t="s">
        <v>930</v>
      </c>
      <c r="C934">
        <v>76</v>
      </c>
      <c r="D934">
        <v>4</v>
      </c>
      <c r="E934">
        <v>0</v>
      </c>
      <c r="F934">
        <v>0</v>
      </c>
      <c r="G934">
        <v>14</v>
      </c>
      <c r="H934">
        <v>18</v>
      </c>
      <c r="I934">
        <v>16</v>
      </c>
      <c r="J934">
        <v>25</v>
      </c>
      <c r="K934">
        <f t="shared" si="16"/>
        <v>4</v>
      </c>
    </row>
    <row r="935" spans="2:11" x14ac:dyDescent="0.35">
      <c r="B935" t="s">
        <v>931</v>
      </c>
      <c r="C935">
        <v>40</v>
      </c>
      <c r="D935">
        <v>0</v>
      </c>
      <c r="E935">
        <v>0</v>
      </c>
      <c r="F935">
        <v>1</v>
      </c>
      <c r="G935">
        <v>0</v>
      </c>
      <c r="H935">
        <v>7</v>
      </c>
      <c r="I935">
        <v>4</v>
      </c>
      <c r="J935">
        <v>29</v>
      </c>
      <c r="K935">
        <f t="shared" si="16"/>
        <v>3</v>
      </c>
    </row>
    <row r="936" spans="2:11" x14ac:dyDescent="0.35">
      <c r="B936" t="s">
        <v>932</v>
      </c>
      <c r="C936">
        <v>166</v>
      </c>
      <c r="D936">
        <v>5</v>
      </c>
      <c r="E936">
        <v>1</v>
      </c>
      <c r="F936">
        <v>0</v>
      </c>
      <c r="G936">
        <v>10</v>
      </c>
      <c r="H936">
        <v>3</v>
      </c>
      <c r="I936">
        <v>86</v>
      </c>
      <c r="J936">
        <v>62</v>
      </c>
      <c r="K936">
        <f t="shared" si="16"/>
        <v>5</v>
      </c>
    </row>
    <row r="937" spans="2:11" x14ac:dyDescent="0.35">
      <c r="B937" t="s">
        <v>933</v>
      </c>
      <c r="C937">
        <v>13</v>
      </c>
      <c r="D937">
        <v>1</v>
      </c>
      <c r="E937">
        <v>0</v>
      </c>
      <c r="F937">
        <v>0</v>
      </c>
      <c r="G937">
        <v>1</v>
      </c>
      <c r="H937">
        <v>1</v>
      </c>
      <c r="I937">
        <v>0</v>
      </c>
      <c r="J937">
        <v>11</v>
      </c>
      <c r="K937">
        <f t="shared" si="16"/>
        <v>3</v>
      </c>
    </row>
    <row r="938" spans="2:11" x14ac:dyDescent="0.35">
      <c r="B938" t="s">
        <v>934</v>
      </c>
      <c r="C938">
        <v>33</v>
      </c>
      <c r="D938">
        <v>5</v>
      </c>
      <c r="E938">
        <v>0</v>
      </c>
      <c r="F938">
        <v>0</v>
      </c>
      <c r="G938">
        <v>5</v>
      </c>
      <c r="H938">
        <v>0</v>
      </c>
      <c r="I938">
        <v>10</v>
      </c>
      <c r="J938">
        <v>14</v>
      </c>
      <c r="K938">
        <f t="shared" si="16"/>
        <v>3</v>
      </c>
    </row>
    <row r="939" spans="2:11" x14ac:dyDescent="0.35">
      <c r="B939" t="s">
        <v>935</v>
      </c>
      <c r="C939">
        <v>49</v>
      </c>
      <c r="D939">
        <v>2</v>
      </c>
      <c r="E939">
        <v>1</v>
      </c>
      <c r="F939">
        <v>0</v>
      </c>
      <c r="G939">
        <v>2</v>
      </c>
      <c r="H939">
        <v>0</v>
      </c>
      <c r="I939">
        <v>30</v>
      </c>
      <c r="J939">
        <v>15</v>
      </c>
      <c r="K939">
        <f t="shared" si="16"/>
        <v>4</v>
      </c>
    </row>
    <row r="940" spans="2:11" x14ac:dyDescent="0.35">
      <c r="B940" t="s">
        <v>936</v>
      </c>
      <c r="C940">
        <v>64</v>
      </c>
      <c r="D940">
        <v>1</v>
      </c>
      <c r="E940">
        <v>0</v>
      </c>
      <c r="F940">
        <v>10</v>
      </c>
      <c r="G940">
        <v>4</v>
      </c>
      <c r="H940">
        <v>3</v>
      </c>
      <c r="I940">
        <v>19</v>
      </c>
      <c r="J940">
        <v>28</v>
      </c>
      <c r="K940">
        <f t="shared" si="16"/>
        <v>5</v>
      </c>
    </row>
    <row r="941" spans="2:11" x14ac:dyDescent="0.35">
      <c r="B941" t="s">
        <v>937</v>
      </c>
      <c r="C941">
        <v>39</v>
      </c>
      <c r="D941">
        <v>1</v>
      </c>
      <c r="E941">
        <v>0</v>
      </c>
      <c r="F941">
        <v>0</v>
      </c>
      <c r="G941">
        <v>0</v>
      </c>
      <c r="H941">
        <v>3</v>
      </c>
      <c r="I941">
        <v>15</v>
      </c>
      <c r="J941">
        <v>21</v>
      </c>
      <c r="K941">
        <f t="shared" si="16"/>
        <v>3</v>
      </c>
    </row>
    <row r="942" spans="2:11" x14ac:dyDescent="0.35">
      <c r="B942" t="s">
        <v>938</v>
      </c>
      <c r="C942">
        <v>12</v>
      </c>
      <c r="D942">
        <v>4</v>
      </c>
      <c r="E942">
        <v>0</v>
      </c>
      <c r="F942">
        <v>0</v>
      </c>
      <c r="G942">
        <v>1</v>
      </c>
      <c r="H942">
        <v>3</v>
      </c>
      <c r="I942">
        <v>2</v>
      </c>
      <c r="J942">
        <v>3</v>
      </c>
      <c r="K942">
        <f t="shared" si="16"/>
        <v>4</v>
      </c>
    </row>
    <row r="943" spans="2:11" x14ac:dyDescent="0.35">
      <c r="B943" t="s">
        <v>939</v>
      </c>
      <c r="C943">
        <v>27</v>
      </c>
      <c r="D943">
        <v>3</v>
      </c>
      <c r="E943">
        <v>0</v>
      </c>
      <c r="F943">
        <v>0</v>
      </c>
      <c r="G943">
        <v>0</v>
      </c>
      <c r="H943">
        <v>5</v>
      </c>
      <c r="I943">
        <v>12</v>
      </c>
      <c r="J943">
        <v>8</v>
      </c>
      <c r="K943">
        <f t="shared" si="16"/>
        <v>3</v>
      </c>
    </row>
    <row r="944" spans="2:11" x14ac:dyDescent="0.35">
      <c r="B944" t="s">
        <v>940</v>
      </c>
      <c r="C944">
        <v>25</v>
      </c>
      <c r="D944">
        <v>3</v>
      </c>
      <c r="E944">
        <v>0</v>
      </c>
      <c r="F944">
        <v>0</v>
      </c>
      <c r="G944">
        <v>0</v>
      </c>
      <c r="H944">
        <v>4</v>
      </c>
      <c r="I944">
        <v>12</v>
      </c>
      <c r="J944">
        <v>7</v>
      </c>
      <c r="K944">
        <f t="shared" si="16"/>
        <v>3</v>
      </c>
    </row>
    <row r="945" spans="2:11" x14ac:dyDescent="0.35">
      <c r="B945" t="s">
        <v>941</v>
      </c>
      <c r="C945">
        <v>19</v>
      </c>
      <c r="D945">
        <v>1</v>
      </c>
      <c r="E945">
        <v>0</v>
      </c>
      <c r="F945">
        <v>0</v>
      </c>
      <c r="G945">
        <v>0</v>
      </c>
      <c r="H945">
        <v>1</v>
      </c>
      <c r="I945">
        <v>5</v>
      </c>
      <c r="J945">
        <v>13</v>
      </c>
      <c r="K945">
        <f t="shared" si="16"/>
        <v>3</v>
      </c>
    </row>
    <row r="946" spans="2:11" x14ac:dyDescent="0.35">
      <c r="B946" t="s">
        <v>942</v>
      </c>
      <c r="C946">
        <v>31</v>
      </c>
      <c r="D946">
        <v>0</v>
      </c>
      <c r="E946">
        <v>0</v>
      </c>
      <c r="F946">
        <v>0</v>
      </c>
      <c r="G946">
        <v>1</v>
      </c>
      <c r="H946">
        <v>10</v>
      </c>
      <c r="I946">
        <v>8</v>
      </c>
      <c r="J946">
        <v>13</v>
      </c>
      <c r="K946">
        <f t="shared" si="16"/>
        <v>3</v>
      </c>
    </row>
    <row r="947" spans="2:11" x14ac:dyDescent="0.35">
      <c r="B947" t="s">
        <v>943</v>
      </c>
      <c r="C947">
        <v>45</v>
      </c>
      <c r="D947">
        <v>0</v>
      </c>
      <c r="E947">
        <v>0</v>
      </c>
      <c r="F947">
        <v>0</v>
      </c>
      <c r="G947">
        <v>0</v>
      </c>
      <c r="H947">
        <v>14</v>
      </c>
      <c r="I947">
        <v>6</v>
      </c>
      <c r="J947">
        <v>26</v>
      </c>
      <c r="K947">
        <f t="shared" si="16"/>
        <v>2</v>
      </c>
    </row>
    <row r="948" spans="2:11" x14ac:dyDescent="0.35">
      <c r="B948" t="s">
        <v>944</v>
      </c>
      <c r="C948">
        <v>41</v>
      </c>
      <c r="D948">
        <v>0</v>
      </c>
      <c r="E948">
        <v>0</v>
      </c>
      <c r="F948">
        <v>1</v>
      </c>
      <c r="G948">
        <v>1</v>
      </c>
      <c r="H948">
        <v>0</v>
      </c>
      <c r="I948">
        <v>17</v>
      </c>
      <c r="J948">
        <v>23</v>
      </c>
      <c r="K948">
        <f t="shared" si="16"/>
        <v>3</v>
      </c>
    </row>
    <row r="949" spans="2:11" x14ac:dyDescent="0.35">
      <c r="B949" t="s">
        <v>945</v>
      </c>
      <c r="C949">
        <v>91</v>
      </c>
      <c r="D949">
        <v>10</v>
      </c>
      <c r="E949">
        <v>0</v>
      </c>
      <c r="F949">
        <v>1</v>
      </c>
      <c r="G949">
        <v>0</v>
      </c>
      <c r="H949">
        <v>6</v>
      </c>
      <c r="I949">
        <v>42</v>
      </c>
      <c r="J949">
        <v>33</v>
      </c>
      <c r="K949">
        <f t="shared" si="16"/>
        <v>4</v>
      </c>
    </row>
    <row r="950" spans="2:11" x14ac:dyDescent="0.35">
      <c r="B950" t="s">
        <v>946</v>
      </c>
      <c r="C950">
        <v>7</v>
      </c>
      <c r="D950">
        <v>1</v>
      </c>
      <c r="E950">
        <v>0</v>
      </c>
      <c r="F950">
        <v>0</v>
      </c>
      <c r="G950">
        <v>3</v>
      </c>
      <c r="H950">
        <v>0</v>
      </c>
      <c r="I950">
        <v>3</v>
      </c>
      <c r="J950">
        <v>1</v>
      </c>
      <c r="K950">
        <f t="shared" si="16"/>
        <v>3</v>
      </c>
    </row>
    <row r="951" spans="2:11" x14ac:dyDescent="0.35">
      <c r="B951" t="s">
        <v>947</v>
      </c>
      <c r="C951">
        <v>6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3</v>
      </c>
      <c r="J951">
        <v>4</v>
      </c>
      <c r="K951">
        <f t="shared" si="16"/>
        <v>1</v>
      </c>
    </row>
    <row r="952" spans="2:11" x14ac:dyDescent="0.35">
      <c r="B952" t="s">
        <v>948</v>
      </c>
      <c r="C952">
        <v>41</v>
      </c>
      <c r="D952">
        <v>1</v>
      </c>
      <c r="E952">
        <v>0</v>
      </c>
      <c r="F952">
        <v>1</v>
      </c>
      <c r="G952">
        <v>3</v>
      </c>
      <c r="H952">
        <v>6</v>
      </c>
      <c r="I952">
        <v>12</v>
      </c>
      <c r="J952">
        <v>19</v>
      </c>
      <c r="K952">
        <f t="shared" si="16"/>
        <v>5</v>
      </c>
    </row>
    <row r="953" spans="2:11" x14ac:dyDescent="0.35">
      <c r="B953" t="s">
        <v>949</v>
      </c>
      <c r="C953">
        <v>13</v>
      </c>
      <c r="D953">
        <v>1</v>
      </c>
      <c r="E953">
        <v>0</v>
      </c>
      <c r="F953">
        <v>0</v>
      </c>
      <c r="G953">
        <v>1</v>
      </c>
      <c r="H953">
        <v>0</v>
      </c>
      <c r="I953">
        <v>1</v>
      </c>
      <c r="J953">
        <v>11</v>
      </c>
      <c r="K953">
        <f t="shared" si="16"/>
        <v>3</v>
      </c>
    </row>
    <row r="954" spans="2:11" x14ac:dyDescent="0.35">
      <c r="B954" t="s">
        <v>950</v>
      </c>
      <c r="C954">
        <v>24</v>
      </c>
      <c r="D954">
        <v>1</v>
      </c>
      <c r="E954">
        <v>0</v>
      </c>
      <c r="F954">
        <v>0</v>
      </c>
      <c r="G954">
        <v>8</v>
      </c>
      <c r="H954">
        <v>3</v>
      </c>
      <c r="I954">
        <v>4</v>
      </c>
      <c r="J954">
        <v>9</v>
      </c>
      <c r="K954">
        <f t="shared" si="16"/>
        <v>4</v>
      </c>
    </row>
    <row r="955" spans="2:11" x14ac:dyDescent="0.35">
      <c r="B955" t="s">
        <v>951</v>
      </c>
      <c r="C955">
        <v>21</v>
      </c>
      <c r="D955">
        <v>1</v>
      </c>
      <c r="E955">
        <v>0</v>
      </c>
      <c r="F955">
        <v>0</v>
      </c>
      <c r="G955">
        <v>5</v>
      </c>
      <c r="H955">
        <v>4</v>
      </c>
      <c r="I955">
        <v>8</v>
      </c>
      <c r="J955">
        <v>4</v>
      </c>
      <c r="K955">
        <f t="shared" si="16"/>
        <v>4</v>
      </c>
    </row>
    <row r="956" spans="2:11" x14ac:dyDescent="0.35">
      <c r="B956" t="s">
        <v>952</v>
      </c>
      <c r="C956">
        <v>14</v>
      </c>
      <c r="D956">
        <v>2</v>
      </c>
      <c r="E956">
        <v>0</v>
      </c>
      <c r="F956">
        <v>0</v>
      </c>
      <c r="G956">
        <v>0</v>
      </c>
      <c r="H956">
        <v>5</v>
      </c>
      <c r="I956">
        <v>6</v>
      </c>
      <c r="J956">
        <v>2</v>
      </c>
      <c r="K956">
        <f t="shared" si="16"/>
        <v>3</v>
      </c>
    </row>
    <row r="957" spans="2:11" x14ac:dyDescent="0.35">
      <c r="B957" t="s">
        <v>953</v>
      </c>
      <c r="C957">
        <v>69</v>
      </c>
      <c r="D957">
        <v>2</v>
      </c>
      <c r="E957">
        <v>0</v>
      </c>
      <c r="F957">
        <v>1</v>
      </c>
      <c r="G957">
        <v>13</v>
      </c>
      <c r="H957">
        <v>13</v>
      </c>
      <c r="I957">
        <v>17</v>
      </c>
      <c r="J957">
        <v>24</v>
      </c>
      <c r="K957">
        <f t="shared" si="16"/>
        <v>5</v>
      </c>
    </row>
    <row r="958" spans="2:11" x14ac:dyDescent="0.35">
      <c r="B958" t="s">
        <v>954</v>
      </c>
      <c r="C958">
        <v>8</v>
      </c>
      <c r="D958">
        <v>1</v>
      </c>
      <c r="E958">
        <v>0</v>
      </c>
      <c r="F958">
        <v>1</v>
      </c>
      <c r="G958">
        <v>0</v>
      </c>
      <c r="H958">
        <v>0</v>
      </c>
      <c r="I958">
        <v>4</v>
      </c>
      <c r="J958">
        <v>3</v>
      </c>
      <c r="K958">
        <f t="shared" si="16"/>
        <v>3</v>
      </c>
    </row>
    <row r="959" spans="2:11" x14ac:dyDescent="0.35">
      <c r="B959" t="s">
        <v>955</v>
      </c>
      <c r="C959">
        <v>28</v>
      </c>
      <c r="D959">
        <v>2</v>
      </c>
      <c r="E959">
        <v>0</v>
      </c>
      <c r="F959">
        <v>0</v>
      </c>
      <c r="G959">
        <v>0</v>
      </c>
      <c r="H959">
        <v>9</v>
      </c>
      <c r="I959">
        <v>4</v>
      </c>
      <c r="J959">
        <v>14</v>
      </c>
      <c r="K959">
        <f t="shared" si="16"/>
        <v>3</v>
      </c>
    </row>
    <row r="960" spans="2:11" x14ac:dyDescent="0.35">
      <c r="B960" t="s">
        <v>956</v>
      </c>
      <c r="C960">
        <v>72</v>
      </c>
      <c r="D960">
        <v>3</v>
      </c>
      <c r="E960">
        <v>0</v>
      </c>
      <c r="F960">
        <v>0</v>
      </c>
      <c r="G960">
        <v>5</v>
      </c>
      <c r="H960">
        <v>7</v>
      </c>
      <c r="I960">
        <v>17</v>
      </c>
      <c r="J960">
        <v>41</v>
      </c>
      <c r="K960">
        <f t="shared" si="16"/>
        <v>4</v>
      </c>
    </row>
    <row r="961" spans="2:11" x14ac:dyDescent="0.35">
      <c r="B961" t="s">
        <v>957</v>
      </c>
      <c r="C961">
        <v>54</v>
      </c>
      <c r="D961">
        <v>6</v>
      </c>
      <c r="E961">
        <v>0</v>
      </c>
      <c r="F961">
        <v>0</v>
      </c>
      <c r="G961">
        <v>5</v>
      </c>
      <c r="H961">
        <v>8</v>
      </c>
      <c r="I961">
        <v>12</v>
      </c>
      <c r="J961">
        <v>24</v>
      </c>
      <c r="K961">
        <f t="shared" si="16"/>
        <v>4</v>
      </c>
    </row>
    <row r="962" spans="2:11" x14ac:dyDescent="0.35">
      <c r="B962" t="s">
        <v>958</v>
      </c>
      <c r="C962">
        <v>6</v>
      </c>
      <c r="D962">
        <v>1</v>
      </c>
      <c r="E962">
        <v>0</v>
      </c>
      <c r="F962">
        <v>0</v>
      </c>
      <c r="G962">
        <v>0</v>
      </c>
      <c r="H962">
        <v>1</v>
      </c>
      <c r="I962">
        <v>3</v>
      </c>
      <c r="J962">
        <v>2</v>
      </c>
      <c r="K962">
        <f t="shared" si="16"/>
        <v>3</v>
      </c>
    </row>
    <row r="963" spans="2:11" x14ac:dyDescent="0.35">
      <c r="B963" t="s">
        <v>959</v>
      </c>
      <c r="C963">
        <v>13</v>
      </c>
      <c r="D963">
        <v>2</v>
      </c>
      <c r="E963">
        <v>1</v>
      </c>
      <c r="F963">
        <v>0</v>
      </c>
      <c r="G963">
        <v>0</v>
      </c>
      <c r="H963">
        <v>0</v>
      </c>
      <c r="I963">
        <v>2</v>
      </c>
      <c r="J963">
        <v>9</v>
      </c>
      <c r="K963">
        <f t="shared" si="16"/>
        <v>3</v>
      </c>
    </row>
    <row r="964" spans="2:11" x14ac:dyDescent="0.35">
      <c r="B964" t="s">
        <v>960</v>
      </c>
      <c r="C964">
        <v>7</v>
      </c>
      <c r="D964">
        <v>1</v>
      </c>
      <c r="E964">
        <v>0</v>
      </c>
      <c r="F964">
        <v>1</v>
      </c>
      <c r="G964">
        <v>0</v>
      </c>
      <c r="H964">
        <v>1</v>
      </c>
      <c r="I964">
        <v>3</v>
      </c>
      <c r="J964">
        <v>2</v>
      </c>
      <c r="K964">
        <f t="shared" si="16"/>
        <v>4</v>
      </c>
    </row>
    <row r="965" spans="2:11" x14ac:dyDescent="0.35">
      <c r="B965" t="s">
        <v>961</v>
      </c>
      <c r="C965">
        <v>30</v>
      </c>
      <c r="D965">
        <v>2</v>
      </c>
      <c r="E965">
        <v>0</v>
      </c>
      <c r="F965">
        <v>0</v>
      </c>
      <c r="G965">
        <v>1</v>
      </c>
      <c r="H965">
        <v>5</v>
      </c>
      <c r="I965">
        <v>7</v>
      </c>
      <c r="J965">
        <v>16</v>
      </c>
      <c r="K965">
        <f t="shared" si="16"/>
        <v>4</v>
      </c>
    </row>
    <row r="966" spans="2:11" x14ac:dyDescent="0.35">
      <c r="B966" t="s">
        <v>962</v>
      </c>
      <c r="C966">
        <v>5</v>
      </c>
      <c r="D966">
        <v>0</v>
      </c>
      <c r="E966">
        <v>0</v>
      </c>
      <c r="F966">
        <v>0</v>
      </c>
      <c r="G966">
        <v>1</v>
      </c>
      <c r="H966">
        <v>0</v>
      </c>
      <c r="I966">
        <v>1</v>
      </c>
      <c r="J966">
        <v>4</v>
      </c>
      <c r="K966">
        <f t="shared" si="16"/>
        <v>2</v>
      </c>
    </row>
    <row r="967" spans="2:11" x14ac:dyDescent="0.35">
      <c r="B967" t="s">
        <v>963</v>
      </c>
      <c r="C967">
        <v>21</v>
      </c>
      <c r="D967">
        <v>6</v>
      </c>
      <c r="E967">
        <v>0</v>
      </c>
      <c r="F967">
        <v>0</v>
      </c>
      <c r="G967">
        <v>1</v>
      </c>
      <c r="H967">
        <v>1</v>
      </c>
      <c r="I967">
        <v>6</v>
      </c>
      <c r="J967">
        <v>8</v>
      </c>
      <c r="K967">
        <f t="shared" si="16"/>
        <v>4</v>
      </c>
    </row>
    <row r="968" spans="2:11" x14ac:dyDescent="0.35">
      <c r="B968" t="s">
        <v>964</v>
      </c>
      <c r="C968">
        <v>15</v>
      </c>
      <c r="D968">
        <v>0</v>
      </c>
      <c r="E968">
        <v>0</v>
      </c>
      <c r="F968">
        <v>0</v>
      </c>
      <c r="G968">
        <v>7</v>
      </c>
      <c r="H968">
        <v>2</v>
      </c>
      <c r="I968">
        <v>5</v>
      </c>
      <c r="J968">
        <v>2</v>
      </c>
      <c r="K968">
        <f t="shared" si="16"/>
        <v>3</v>
      </c>
    </row>
    <row r="969" spans="2:11" x14ac:dyDescent="0.35">
      <c r="B969" t="s">
        <v>965</v>
      </c>
      <c r="C969">
        <v>35</v>
      </c>
      <c r="D969">
        <v>4</v>
      </c>
      <c r="E969">
        <v>1</v>
      </c>
      <c r="F969">
        <v>0</v>
      </c>
      <c r="G969">
        <v>0</v>
      </c>
      <c r="H969">
        <v>2</v>
      </c>
      <c r="I969">
        <v>12</v>
      </c>
      <c r="J969">
        <v>17</v>
      </c>
      <c r="K969">
        <f t="shared" si="16"/>
        <v>4</v>
      </c>
    </row>
    <row r="970" spans="2:11" x14ac:dyDescent="0.35">
      <c r="B970" t="s">
        <v>966</v>
      </c>
      <c r="C970">
        <v>30</v>
      </c>
      <c r="D970">
        <v>1</v>
      </c>
      <c r="E970">
        <v>0</v>
      </c>
      <c r="F970">
        <v>1</v>
      </c>
      <c r="G970">
        <v>0</v>
      </c>
      <c r="H970">
        <v>5</v>
      </c>
      <c r="I970">
        <v>10</v>
      </c>
      <c r="J970">
        <v>14</v>
      </c>
      <c r="K970">
        <f t="shared" si="16"/>
        <v>4</v>
      </c>
    </row>
    <row r="971" spans="2:11" x14ac:dyDescent="0.35">
      <c r="B971" t="s">
        <v>967</v>
      </c>
      <c r="C971">
        <v>9</v>
      </c>
      <c r="D971">
        <v>0</v>
      </c>
      <c r="E971">
        <v>0</v>
      </c>
      <c r="F971">
        <v>0</v>
      </c>
      <c r="G971">
        <v>0</v>
      </c>
      <c r="H971">
        <v>3</v>
      </c>
      <c r="I971">
        <v>7</v>
      </c>
      <c r="J971">
        <v>0</v>
      </c>
      <c r="K971">
        <f t="shared" si="16"/>
        <v>2</v>
      </c>
    </row>
    <row r="972" spans="2:11" x14ac:dyDescent="0.35">
      <c r="B972" t="s">
        <v>968</v>
      </c>
      <c r="C972">
        <v>29</v>
      </c>
      <c r="D972">
        <v>2</v>
      </c>
      <c r="E972">
        <v>1</v>
      </c>
      <c r="F972">
        <v>0</v>
      </c>
      <c r="G972">
        <v>4</v>
      </c>
      <c r="H972">
        <v>8</v>
      </c>
      <c r="I972">
        <v>7</v>
      </c>
      <c r="J972">
        <v>8</v>
      </c>
      <c r="K972">
        <f t="shared" ref="K972:K1035" si="17">COUNTIF(D972:I972, "&gt;0")</f>
        <v>5</v>
      </c>
    </row>
    <row r="973" spans="2:11" x14ac:dyDescent="0.35">
      <c r="B973" t="s">
        <v>969</v>
      </c>
      <c r="C973">
        <v>24</v>
      </c>
      <c r="D973">
        <v>0</v>
      </c>
      <c r="E973">
        <v>0</v>
      </c>
      <c r="F973">
        <v>0</v>
      </c>
      <c r="G973">
        <v>1</v>
      </c>
      <c r="H973">
        <v>1</v>
      </c>
      <c r="I973">
        <v>11</v>
      </c>
      <c r="J973">
        <v>12</v>
      </c>
      <c r="K973">
        <f t="shared" si="17"/>
        <v>3</v>
      </c>
    </row>
    <row r="974" spans="2:11" x14ac:dyDescent="0.35">
      <c r="B974" t="s">
        <v>970</v>
      </c>
      <c r="C974">
        <v>8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3</v>
      </c>
      <c r="J974">
        <v>4</v>
      </c>
      <c r="K974">
        <f t="shared" si="17"/>
        <v>2</v>
      </c>
    </row>
    <row r="975" spans="2:11" x14ac:dyDescent="0.35">
      <c r="B975" t="s">
        <v>971</v>
      </c>
      <c r="C975">
        <v>83</v>
      </c>
      <c r="D975">
        <v>5</v>
      </c>
      <c r="E975">
        <v>4</v>
      </c>
      <c r="F975">
        <v>0</v>
      </c>
      <c r="G975">
        <v>4</v>
      </c>
      <c r="H975">
        <v>8</v>
      </c>
      <c r="I975">
        <v>31</v>
      </c>
      <c r="J975">
        <v>32</v>
      </c>
      <c r="K975">
        <f t="shared" si="17"/>
        <v>5</v>
      </c>
    </row>
    <row r="976" spans="2:11" x14ac:dyDescent="0.35">
      <c r="B976" t="s">
        <v>972</v>
      </c>
      <c r="C976">
        <v>28</v>
      </c>
      <c r="D976">
        <v>2</v>
      </c>
      <c r="E976">
        <v>0</v>
      </c>
      <c r="F976">
        <v>2</v>
      </c>
      <c r="G976">
        <v>0</v>
      </c>
      <c r="H976">
        <v>4</v>
      </c>
      <c r="I976">
        <v>6</v>
      </c>
      <c r="J976">
        <v>15</v>
      </c>
      <c r="K976">
        <f t="shared" si="17"/>
        <v>4</v>
      </c>
    </row>
    <row r="977" spans="2:11" x14ac:dyDescent="0.35">
      <c r="B977" t="s">
        <v>973</v>
      </c>
      <c r="C977">
        <v>21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5</v>
      </c>
      <c r="J977">
        <v>16</v>
      </c>
      <c r="K977">
        <f t="shared" si="17"/>
        <v>2</v>
      </c>
    </row>
    <row r="978" spans="2:11" x14ac:dyDescent="0.35">
      <c r="B978" t="s">
        <v>974</v>
      </c>
      <c r="C978">
        <v>9</v>
      </c>
      <c r="D978">
        <v>3</v>
      </c>
      <c r="E978">
        <v>0</v>
      </c>
      <c r="F978">
        <v>0</v>
      </c>
      <c r="G978">
        <v>1</v>
      </c>
      <c r="H978">
        <v>1</v>
      </c>
      <c r="I978">
        <v>2</v>
      </c>
      <c r="J978">
        <v>3</v>
      </c>
      <c r="K978">
        <f t="shared" si="17"/>
        <v>4</v>
      </c>
    </row>
    <row r="979" spans="2:11" x14ac:dyDescent="0.35">
      <c r="B979" t="s">
        <v>975</v>
      </c>
      <c r="C979">
        <v>54</v>
      </c>
      <c r="D979">
        <v>3</v>
      </c>
      <c r="E979">
        <v>0</v>
      </c>
      <c r="F979">
        <v>0</v>
      </c>
      <c r="G979">
        <v>1</v>
      </c>
      <c r="H979">
        <v>1</v>
      </c>
      <c r="I979">
        <v>30</v>
      </c>
      <c r="J979">
        <v>20</v>
      </c>
      <c r="K979">
        <f t="shared" si="17"/>
        <v>4</v>
      </c>
    </row>
    <row r="980" spans="2:11" x14ac:dyDescent="0.35">
      <c r="B980" t="s">
        <v>976</v>
      </c>
      <c r="C980">
        <v>55</v>
      </c>
      <c r="D980">
        <v>1</v>
      </c>
      <c r="E980">
        <v>0</v>
      </c>
      <c r="F980">
        <v>0</v>
      </c>
      <c r="G980">
        <v>12</v>
      </c>
      <c r="H980">
        <v>10</v>
      </c>
      <c r="I980">
        <v>10</v>
      </c>
      <c r="J980">
        <v>23</v>
      </c>
      <c r="K980">
        <f t="shared" si="17"/>
        <v>4</v>
      </c>
    </row>
    <row r="981" spans="2:11" x14ac:dyDescent="0.35">
      <c r="B981" t="s">
        <v>977</v>
      </c>
      <c r="C981">
        <v>23</v>
      </c>
      <c r="D981">
        <v>2</v>
      </c>
      <c r="E981">
        <v>1</v>
      </c>
      <c r="F981">
        <v>0</v>
      </c>
      <c r="G981">
        <v>0</v>
      </c>
      <c r="H981">
        <v>1</v>
      </c>
      <c r="I981">
        <v>7</v>
      </c>
      <c r="J981">
        <v>13</v>
      </c>
      <c r="K981">
        <f t="shared" si="17"/>
        <v>4</v>
      </c>
    </row>
    <row r="982" spans="2:11" x14ac:dyDescent="0.35">
      <c r="B982" t="s">
        <v>978</v>
      </c>
      <c r="C982">
        <v>187</v>
      </c>
      <c r="D982">
        <v>17</v>
      </c>
      <c r="E982">
        <v>0</v>
      </c>
      <c r="F982">
        <v>1</v>
      </c>
      <c r="G982">
        <v>24</v>
      </c>
      <c r="H982">
        <v>19</v>
      </c>
      <c r="I982">
        <v>69</v>
      </c>
      <c r="J982">
        <v>58</v>
      </c>
      <c r="K982">
        <f t="shared" si="17"/>
        <v>5</v>
      </c>
    </row>
    <row r="983" spans="2:11" x14ac:dyDescent="0.35">
      <c r="B983" t="s">
        <v>979</v>
      </c>
      <c r="C983">
        <v>25</v>
      </c>
      <c r="D983">
        <v>2</v>
      </c>
      <c r="E983">
        <v>0</v>
      </c>
      <c r="F983">
        <v>0</v>
      </c>
      <c r="G983">
        <v>0</v>
      </c>
      <c r="H983">
        <v>1</v>
      </c>
      <c r="I983">
        <v>7</v>
      </c>
      <c r="J983">
        <v>16</v>
      </c>
      <c r="K983">
        <f t="shared" si="17"/>
        <v>3</v>
      </c>
    </row>
    <row r="984" spans="2:11" x14ac:dyDescent="0.35">
      <c r="B984" t="s">
        <v>980</v>
      </c>
      <c r="C984">
        <v>16</v>
      </c>
      <c r="D984">
        <v>0</v>
      </c>
      <c r="E984">
        <v>0</v>
      </c>
      <c r="F984">
        <v>0</v>
      </c>
      <c r="G984">
        <v>4</v>
      </c>
      <c r="H984">
        <v>1</v>
      </c>
      <c r="I984">
        <v>3</v>
      </c>
      <c r="J984">
        <v>9</v>
      </c>
      <c r="K984">
        <f t="shared" si="17"/>
        <v>3</v>
      </c>
    </row>
    <row r="985" spans="2:11" x14ac:dyDescent="0.35">
      <c r="B985" t="s">
        <v>981</v>
      </c>
      <c r="C985">
        <v>8</v>
      </c>
      <c r="D985">
        <v>0</v>
      </c>
      <c r="E985">
        <v>0</v>
      </c>
      <c r="F985">
        <v>0</v>
      </c>
      <c r="G985">
        <v>0</v>
      </c>
      <c r="H985">
        <v>2</v>
      </c>
      <c r="I985">
        <v>1</v>
      </c>
      <c r="J985">
        <v>6</v>
      </c>
      <c r="K985">
        <f t="shared" si="17"/>
        <v>2</v>
      </c>
    </row>
    <row r="986" spans="2:11" x14ac:dyDescent="0.35">
      <c r="B986" t="s">
        <v>982</v>
      </c>
      <c r="C986">
        <v>43</v>
      </c>
      <c r="D986">
        <v>1</v>
      </c>
      <c r="E986">
        <v>1</v>
      </c>
      <c r="F986">
        <v>0</v>
      </c>
      <c r="G986">
        <v>0</v>
      </c>
      <c r="H986">
        <v>21</v>
      </c>
      <c r="I986">
        <v>12</v>
      </c>
      <c r="J986">
        <v>9</v>
      </c>
      <c r="K986">
        <f t="shared" si="17"/>
        <v>4</v>
      </c>
    </row>
    <row r="987" spans="2:11" x14ac:dyDescent="0.35">
      <c r="B987" t="s">
        <v>983</v>
      </c>
      <c r="C987">
        <v>23</v>
      </c>
      <c r="D987">
        <v>0</v>
      </c>
      <c r="E987">
        <v>1</v>
      </c>
      <c r="F987">
        <v>0</v>
      </c>
      <c r="G987">
        <v>2</v>
      </c>
      <c r="H987">
        <v>2</v>
      </c>
      <c r="I987">
        <v>6</v>
      </c>
      <c r="J987">
        <v>13</v>
      </c>
      <c r="K987">
        <f t="shared" si="17"/>
        <v>4</v>
      </c>
    </row>
    <row r="988" spans="2:11" x14ac:dyDescent="0.35">
      <c r="B988" t="s">
        <v>984</v>
      </c>
      <c r="C988">
        <v>22</v>
      </c>
      <c r="D988">
        <v>1</v>
      </c>
      <c r="E988">
        <v>0</v>
      </c>
      <c r="F988">
        <v>0</v>
      </c>
      <c r="G988">
        <v>5</v>
      </c>
      <c r="H988">
        <v>5</v>
      </c>
      <c r="I988">
        <v>6</v>
      </c>
      <c r="J988">
        <v>6</v>
      </c>
      <c r="K988">
        <f t="shared" si="17"/>
        <v>4</v>
      </c>
    </row>
    <row r="989" spans="2:11" x14ac:dyDescent="0.35">
      <c r="B989" t="s">
        <v>985</v>
      </c>
      <c r="C989">
        <v>17</v>
      </c>
      <c r="D989">
        <v>4</v>
      </c>
      <c r="E989">
        <v>0</v>
      </c>
      <c r="F989">
        <v>0</v>
      </c>
      <c r="G989">
        <v>3</v>
      </c>
      <c r="H989">
        <v>0</v>
      </c>
      <c r="I989">
        <v>2</v>
      </c>
      <c r="J989">
        <v>9</v>
      </c>
      <c r="K989">
        <f t="shared" si="17"/>
        <v>3</v>
      </c>
    </row>
    <row r="990" spans="2:11" x14ac:dyDescent="0.35">
      <c r="B990" t="s">
        <v>986</v>
      </c>
      <c r="C990">
        <v>43</v>
      </c>
      <c r="D990">
        <v>2</v>
      </c>
      <c r="E990">
        <v>0</v>
      </c>
      <c r="F990">
        <v>0</v>
      </c>
      <c r="G990">
        <v>2</v>
      </c>
      <c r="H990">
        <v>12</v>
      </c>
      <c r="I990">
        <v>5</v>
      </c>
      <c r="J990">
        <v>23</v>
      </c>
      <c r="K990">
        <f t="shared" si="17"/>
        <v>4</v>
      </c>
    </row>
    <row r="991" spans="2:11" x14ac:dyDescent="0.35">
      <c r="B991" t="s">
        <v>987</v>
      </c>
      <c r="C991">
        <v>9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10</v>
      </c>
      <c r="J991">
        <v>0</v>
      </c>
      <c r="K991">
        <f t="shared" si="17"/>
        <v>1</v>
      </c>
    </row>
    <row r="992" spans="2:11" x14ac:dyDescent="0.35">
      <c r="B992" t="s">
        <v>988</v>
      </c>
      <c r="C992">
        <v>21</v>
      </c>
      <c r="D992">
        <v>0</v>
      </c>
      <c r="E992">
        <v>0</v>
      </c>
      <c r="F992">
        <v>0</v>
      </c>
      <c r="G992">
        <v>0</v>
      </c>
      <c r="H992">
        <v>1</v>
      </c>
      <c r="I992">
        <v>1</v>
      </c>
      <c r="J992">
        <v>20</v>
      </c>
      <c r="K992">
        <f t="shared" si="17"/>
        <v>2</v>
      </c>
    </row>
    <row r="993" spans="2:11" x14ac:dyDescent="0.35">
      <c r="B993" t="s">
        <v>989</v>
      </c>
      <c r="C993">
        <v>68</v>
      </c>
      <c r="D993">
        <v>1</v>
      </c>
      <c r="E993">
        <v>0</v>
      </c>
      <c r="F993">
        <v>0</v>
      </c>
      <c r="G993">
        <v>11</v>
      </c>
      <c r="H993">
        <v>3</v>
      </c>
      <c r="I993">
        <v>32</v>
      </c>
      <c r="J993">
        <v>22</v>
      </c>
      <c r="K993">
        <f t="shared" si="17"/>
        <v>4</v>
      </c>
    </row>
    <row r="994" spans="2:11" x14ac:dyDescent="0.35">
      <c r="B994" t="s">
        <v>990</v>
      </c>
      <c r="C994">
        <v>38</v>
      </c>
      <c r="D994">
        <v>4</v>
      </c>
      <c r="E994">
        <v>0</v>
      </c>
      <c r="F994">
        <v>1</v>
      </c>
      <c r="G994">
        <v>0</v>
      </c>
      <c r="H994">
        <v>0</v>
      </c>
      <c r="I994">
        <v>10</v>
      </c>
      <c r="J994">
        <v>24</v>
      </c>
      <c r="K994">
        <f t="shared" si="17"/>
        <v>3</v>
      </c>
    </row>
    <row r="995" spans="2:11" x14ac:dyDescent="0.35">
      <c r="B995" t="s">
        <v>991</v>
      </c>
      <c r="C995">
        <v>35</v>
      </c>
      <c r="D995">
        <v>6</v>
      </c>
      <c r="E995">
        <v>0</v>
      </c>
      <c r="F995">
        <v>0</v>
      </c>
      <c r="G995">
        <v>4</v>
      </c>
      <c r="H995">
        <v>4</v>
      </c>
      <c r="I995">
        <v>11</v>
      </c>
      <c r="J995">
        <v>11</v>
      </c>
      <c r="K995">
        <f t="shared" si="17"/>
        <v>4</v>
      </c>
    </row>
    <row r="996" spans="2:11" x14ac:dyDescent="0.35">
      <c r="B996" t="s">
        <v>992</v>
      </c>
      <c r="C996">
        <v>11</v>
      </c>
      <c r="D996">
        <v>1</v>
      </c>
      <c r="E996">
        <v>0</v>
      </c>
      <c r="F996">
        <v>0</v>
      </c>
      <c r="G996">
        <v>0</v>
      </c>
      <c r="H996">
        <v>1</v>
      </c>
      <c r="I996">
        <v>3</v>
      </c>
      <c r="J996">
        <v>7</v>
      </c>
      <c r="K996">
        <f t="shared" si="17"/>
        <v>3</v>
      </c>
    </row>
    <row r="997" spans="2:11" x14ac:dyDescent="0.35">
      <c r="B997" t="s">
        <v>993</v>
      </c>
      <c r="C997">
        <v>64</v>
      </c>
      <c r="D997">
        <v>1</v>
      </c>
      <c r="E997">
        <v>0</v>
      </c>
      <c r="F997">
        <v>0</v>
      </c>
      <c r="G997">
        <v>10</v>
      </c>
      <c r="H997">
        <v>9</v>
      </c>
      <c r="I997">
        <v>14</v>
      </c>
      <c r="J997">
        <v>31</v>
      </c>
      <c r="K997">
        <f t="shared" si="17"/>
        <v>4</v>
      </c>
    </row>
    <row r="998" spans="2:11" x14ac:dyDescent="0.35">
      <c r="B998" t="s">
        <v>994</v>
      </c>
      <c r="C998">
        <v>9</v>
      </c>
      <c r="D998">
        <v>0</v>
      </c>
      <c r="E998">
        <v>0</v>
      </c>
      <c r="F998">
        <v>0</v>
      </c>
      <c r="G998">
        <v>0</v>
      </c>
      <c r="H998">
        <v>1</v>
      </c>
      <c r="I998">
        <v>4</v>
      </c>
      <c r="J998">
        <v>5</v>
      </c>
      <c r="K998">
        <f t="shared" si="17"/>
        <v>2</v>
      </c>
    </row>
    <row r="999" spans="2:11" x14ac:dyDescent="0.35">
      <c r="B999" t="s">
        <v>995</v>
      </c>
      <c r="C999">
        <v>15</v>
      </c>
      <c r="D999">
        <v>1</v>
      </c>
      <c r="E999">
        <v>0</v>
      </c>
      <c r="F999">
        <v>0</v>
      </c>
      <c r="G999">
        <v>0</v>
      </c>
      <c r="H999">
        <v>2</v>
      </c>
      <c r="I999">
        <v>10</v>
      </c>
      <c r="J999">
        <v>3</v>
      </c>
      <c r="K999">
        <f t="shared" si="17"/>
        <v>3</v>
      </c>
    </row>
    <row r="1000" spans="2:11" x14ac:dyDescent="0.35">
      <c r="B1000" t="s">
        <v>996</v>
      </c>
      <c r="C1000">
        <v>17</v>
      </c>
      <c r="D1000">
        <v>2</v>
      </c>
      <c r="E1000">
        <v>0</v>
      </c>
      <c r="F1000">
        <v>1</v>
      </c>
      <c r="G1000">
        <v>0</v>
      </c>
      <c r="H1000">
        <v>2</v>
      </c>
      <c r="I1000">
        <v>2</v>
      </c>
      <c r="J1000">
        <v>11</v>
      </c>
      <c r="K1000">
        <f t="shared" si="17"/>
        <v>4</v>
      </c>
    </row>
    <row r="1001" spans="2:11" x14ac:dyDescent="0.35">
      <c r="B1001" t="s">
        <v>997</v>
      </c>
      <c r="C1001">
        <v>14</v>
      </c>
      <c r="D1001">
        <v>1</v>
      </c>
      <c r="E1001">
        <v>0</v>
      </c>
      <c r="F1001">
        <v>0</v>
      </c>
      <c r="G1001">
        <v>0</v>
      </c>
      <c r="H1001">
        <v>1</v>
      </c>
      <c r="I1001">
        <v>5</v>
      </c>
      <c r="J1001">
        <v>8</v>
      </c>
      <c r="K1001">
        <f t="shared" si="17"/>
        <v>3</v>
      </c>
    </row>
    <row r="1002" spans="2:11" x14ac:dyDescent="0.35">
      <c r="B1002" t="s">
        <v>998</v>
      </c>
      <c r="C1002">
        <v>14</v>
      </c>
      <c r="D1002">
        <v>0</v>
      </c>
      <c r="E1002">
        <v>0</v>
      </c>
      <c r="F1002">
        <v>0</v>
      </c>
      <c r="G1002">
        <v>0</v>
      </c>
      <c r="H1002">
        <v>2</v>
      </c>
      <c r="I1002">
        <v>4</v>
      </c>
      <c r="J1002">
        <v>9</v>
      </c>
      <c r="K1002">
        <f t="shared" si="17"/>
        <v>2</v>
      </c>
    </row>
    <row r="1003" spans="2:11" x14ac:dyDescent="0.35">
      <c r="B1003" t="s">
        <v>999</v>
      </c>
      <c r="C1003">
        <v>17</v>
      </c>
      <c r="D1003">
        <v>0</v>
      </c>
      <c r="E1003">
        <v>0</v>
      </c>
      <c r="F1003">
        <v>0</v>
      </c>
      <c r="G1003">
        <v>3</v>
      </c>
      <c r="H1003">
        <v>0</v>
      </c>
      <c r="I1003">
        <v>13</v>
      </c>
      <c r="J1003">
        <v>2</v>
      </c>
      <c r="K1003">
        <f t="shared" si="17"/>
        <v>2</v>
      </c>
    </row>
    <row r="1004" spans="2:11" x14ac:dyDescent="0.35">
      <c r="B1004" t="s">
        <v>1000</v>
      </c>
      <c r="C1004">
        <v>57</v>
      </c>
      <c r="D1004">
        <v>7</v>
      </c>
      <c r="E1004">
        <v>3</v>
      </c>
      <c r="F1004">
        <v>0</v>
      </c>
      <c r="G1004">
        <v>4</v>
      </c>
      <c r="H1004">
        <v>1</v>
      </c>
      <c r="I1004">
        <v>16</v>
      </c>
      <c r="J1004">
        <v>27</v>
      </c>
      <c r="K1004">
        <f t="shared" si="17"/>
        <v>5</v>
      </c>
    </row>
    <row r="1005" spans="2:11" x14ac:dyDescent="0.35">
      <c r="B1005" t="s">
        <v>1001</v>
      </c>
      <c r="C1005">
        <v>31</v>
      </c>
      <c r="D1005">
        <v>2</v>
      </c>
      <c r="E1005">
        <v>0</v>
      </c>
      <c r="F1005">
        <v>0</v>
      </c>
      <c r="G1005">
        <v>5</v>
      </c>
      <c r="H1005">
        <v>5</v>
      </c>
      <c r="I1005">
        <v>7</v>
      </c>
      <c r="J1005">
        <v>13</v>
      </c>
      <c r="K1005">
        <f t="shared" si="17"/>
        <v>4</v>
      </c>
    </row>
    <row r="1006" spans="2:11" x14ac:dyDescent="0.35">
      <c r="B1006" t="s">
        <v>1002</v>
      </c>
      <c r="C1006">
        <v>9</v>
      </c>
      <c r="D1006">
        <v>2</v>
      </c>
      <c r="E1006">
        <v>0</v>
      </c>
      <c r="F1006">
        <v>0</v>
      </c>
      <c r="G1006">
        <v>1</v>
      </c>
      <c r="H1006">
        <v>0</v>
      </c>
      <c r="I1006">
        <v>3</v>
      </c>
      <c r="J1006">
        <v>4</v>
      </c>
      <c r="K1006">
        <f t="shared" si="17"/>
        <v>3</v>
      </c>
    </row>
    <row r="1007" spans="2:11" x14ac:dyDescent="0.35">
      <c r="B1007" t="s">
        <v>1003</v>
      </c>
      <c r="C1007">
        <v>65</v>
      </c>
      <c r="D1007">
        <v>6</v>
      </c>
      <c r="E1007">
        <v>0</v>
      </c>
      <c r="F1007">
        <v>1</v>
      </c>
      <c r="G1007">
        <v>10</v>
      </c>
      <c r="H1007">
        <v>8</v>
      </c>
      <c r="I1007">
        <v>11</v>
      </c>
      <c r="J1007">
        <v>30</v>
      </c>
      <c r="K1007">
        <f t="shared" si="17"/>
        <v>5</v>
      </c>
    </row>
    <row r="1008" spans="2:11" x14ac:dyDescent="0.35">
      <c r="B1008" t="s">
        <v>1004</v>
      </c>
      <c r="C1008">
        <v>2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1</v>
      </c>
      <c r="J1008">
        <v>2</v>
      </c>
      <c r="K1008">
        <f t="shared" si="17"/>
        <v>1</v>
      </c>
    </row>
    <row r="1009" spans="2:11" x14ac:dyDescent="0.35">
      <c r="B1009" t="s">
        <v>1005</v>
      </c>
      <c r="C1009">
        <v>70</v>
      </c>
      <c r="D1009">
        <v>4</v>
      </c>
      <c r="E1009">
        <v>0</v>
      </c>
      <c r="F1009">
        <v>0</v>
      </c>
      <c r="G1009">
        <v>5</v>
      </c>
      <c r="H1009">
        <v>6</v>
      </c>
      <c r="I1009">
        <v>23</v>
      </c>
      <c r="J1009">
        <v>33</v>
      </c>
      <c r="K1009">
        <f t="shared" si="17"/>
        <v>4</v>
      </c>
    </row>
    <row r="1010" spans="2:11" x14ac:dyDescent="0.35">
      <c r="B1010" t="s">
        <v>1006</v>
      </c>
      <c r="C1010">
        <v>29</v>
      </c>
      <c r="D1010">
        <v>1</v>
      </c>
      <c r="E1010">
        <v>0</v>
      </c>
      <c r="F1010">
        <v>0</v>
      </c>
      <c r="G1010">
        <v>10</v>
      </c>
      <c r="H1010">
        <v>2</v>
      </c>
      <c r="I1010">
        <v>11</v>
      </c>
      <c r="J1010">
        <v>6</v>
      </c>
      <c r="K1010">
        <f t="shared" si="17"/>
        <v>4</v>
      </c>
    </row>
    <row r="1011" spans="2:11" x14ac:dyDescent="0.35">
      <c r="B1011" t="s">
        <v>1007</v>
      </c>
      <c r="C1011">
        <v>11</v>
      </c>
      <c r="D1011">
        <v>3</v>
      </c>
      <c r="E1011">
        <v>0</v>
      </c>
      <c r="F1011">
        <v>0</v>
      </c>
      <c r="G1011">
        <v>0</v>
      </c>
      <c r="H1011">
        <v>1</v>
      </c>
      <c r="I1011">
        <v>0</v>
      </c>
      <c r="J1011">
        <v>8</v>
      </c>
      <c r="K1011">
        <f t="shared" si="17"/>
        <v>2</v>
      </c>
    </row>
    <row r="1012" spans="2:11" x14ac:dyDescent="0.35">
      <c r="B1012" t="s">
        <v>1008</v>
      </c>
      <c r="C1012">
        <v>96</v>
      </c>
      <c r="D1012">
        <v>1</v>
      </c>
      <c r="E1012">
        <v>0</v>
      </c>
      <c r="F1012">
        <v>0</v>
      </c>
      <c r="G1012">
        <v>4</v>
      </c>
      <c r="H1012">
        <v>21</v>
      </c>
      <c r="I1012">
        <v>34</v>
      </c>
      <c r="J1012">
        <v>37</v>
      </c>
      <c r="K1012">
        <f t="shared" si="17"/>
        <v>4</v>
      </c>
    </row>
    <row r="1013" spans="2:11" x14ac:dyDescent="0.35">
      <c r="B1013" t="s">
        <v>1009</v>
      </c>
      <c r="C1013">
        <v>8</v>
      </c>
      <c r="D1013">
        <v>0</v>
      </c>
      <c r="E1013">
        <v>0</v>
      </c>
      <c r="F1013">
        <v>0</v>
      </c>
      <c r="G1013">
        <v>1</v>
      </c>
      <c r="H1013">
        <v>1</v>
      </c>
      <c r="I1013">
        <v>2</v>
      </c>
      <c r="J1013">
        <v>5</v>
      </c>
      <c r="K1013">
        <f t="shared" si="17"/>
        <v>3</v>
      </c>
    </row>
    <row r="1014" spans="2:11" x14ac:dyDescent="0.35">
      <c r="B1014" t="s">
        <v>1010</v>
      </c>
      <c r="C1014">
        <v>5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1</v>
      </c>
      <c r="J1014">
        <v>5</v>
      </c>
      <c r="K1014">
        <f t="shared" si="17"/>
        <v>1</v>
      </c>
    </row>
    <row r="1015" spans="2:11" x14ac:dyDescent="0.35">
      <c r="B1015" t="s">
        <v>1011</v>
      </c>
      <c r="C1015">
        <v>26</v>
      </c>
      <c r="D1015">
        <v>3</v>
      </c>
      <c r="E1015">
        <v>1</v>
      </c>
      <c r="F1015">
        <v>0</v>
      </c>
      <c r="G1015">
        <v>2</v>
      </c>
      <c r="H1015">
        <v>5</v>
      </c>
      <c r="I1015">
        <v>6</v>
      </c>
      <c r="J1015">
        <v>10</v>
      </c>
      <c r="K1015">
        <f t="shared" si="17"/>
        <v>5</v>
      </c>
    </row>
    <row r="1016" spans="2:11" x14ac:dyDescent="0.35">
      <c r="B1016" t="s">
        <v>1012</v>
      </c>
      <c r="C1016">
        <v>7</v>
      </c>
      <c r="D1016">
        <v>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7</v>
      </c>
      <c r="K1016">
        <f t="shared" si="17"/>
        <v>1</v>
      </c>
    </row>
    <row r="1017" spans="2:11" x14ac:dyDescent="0.35">
      <c r="B1017" t="s">
        <v>1013</v>
      </c>
      <c r="C1017">
        <v>10</v>
      </c>
      <c r="D1017">
        <v>0</v>
      </c>
      <c r="E1017">
        <v>0</v>
      </c>
      <c r="F1017">
        <v>0</v>
      </c>
      <c r="G1017">
        <v>3</v>
      </c>
      <c r="H1017">
        <v>0</v>
      </c>
      <c r="I1017">
        <v>0</v>
      </c>
      <c r="J1017">
        <v>8</v>
      </c>
      <c r="K1017">
        <f t="shared" si="17"/>
        <v>1</v>
      </c>
    </row>
    <row r="1018" spans="2:11" x14ac:dyDescent="0.35">
      <c r="B1018" t="s">
        <v>1014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1</v>
      </c>
      <c r="K1018">
        <f t="shared" si="17"/>
        <v>0</v>
      </c>
    </row>
    <row r="1019" spans="2:11" x14ac:dyDescent="0.35">
      <c r="B1019" t="s">
        <v>1015</v>
      </c>
      <c r="C1019">
        <v>55</v>
      </c>
      <c r="D1019">
        <v>0</v>
      </c>
      <c r="E1019">
        <v>0</v>
      </c>
      <c r="F1019">
        <v>1</v>
      </c>
      <c r="G1019">
        <v>9</v>
      </c>
      <c r="H1019">
        <v>4</v>
      </c>
      <c r="I1019">
        <v>21</v>
      </c>
      <c r="J1019">
        <v>21</v>
      </c>
      <c r="K1019">
        <f t="shared" si="17"/>
        <v>4</v>
      </c>
    </row>
    <row r="1020" spans="2:11" x14ac:dyDescent="0.35">
      <c r="B1020" t="s">
        <v>1016</v>
      </c>
      <c r="C1020">
        <v>86</v>
      </c>
      <c r="D1020">
        <v>1</v>
      </c>
      <c r="E1020">
        <v>0</v>
      </c>
      <c r="F1020">
        <v>0</v>
      </c>
      <c r="G1020">
        <v>0</v>
      </c>
      <c r="H1020">
        <v>50</v>
      </c>
      <c r="I1020">
        <v>9</v>
      </c>
      <c r="J1020">
        <v>27</v>
      </c>
      <c r="K1020">
        <f t="shared" si="17"/>
        <v>3</v>
      </c>
    </row>
    <row r="1021" spans="2:11" x14ac:dyDescent="0.35">
      <c r="B1021" t="s">
        <v>1017</v>
      </c>
      <c r="C1021">
        <v>17</v>
      </c>
      <c r="D1021">
        <v>1</v>
      </c>
      <c r="E1021">
        <v>0</v>
      </c>
      <c r="F1021">
        <v>0</v>
      </c>
      <c r="G1021">
        <v>0</v>
      </c>
      <c r="H1021">
        <v>1</v>
      </c>
      <c r="I1021">
        <v>3</v>
      </c>
      <c r="J1021">
        <v>13</v>
      </c>
      <c r="K1021">
        <f t="shared" si="17"/>
        <v>3</v>
      </c>
    </row>
    <row r="1022" spans="2:11" x14ac:dyDescent="0.35">
      <c r="B1022" t="s">
        <v>1018</v>
      </c>
      <c r="C1022">
        <v>36</v>
      </c>
      <c r="D1022">
        <v>4</v>
      </c>
      <c r="E1022">
        <v>0</v>
      </c>
      <c r="F1022">
        <v>0</v>
      </c>
      <c r="G1022">
        <v>4</v>
      </c>
      <c r="H1022">
        <v>0</v>
      </c>
      <c r="I1022">
        <v>16</v>
      </c>
      <c r="J1022">
        <v>13</v>
      </c>
      <c r="K1022">
        <f t="shared" si="17"/>
        <v>3</v>
      </c>
    </row>
    <row r="1023" spans="2:11" x14ac:dyDescent="0.35">
      <c r="B1023" t="s">
        <v>1019</v>
      </c>
      <c r="C1023">
        <v>29</v>
      </c>
      <c r="D1023">
        <v>1</v>
      </c>
      <c r="E1023">
        <v>0</v>
      </c>
      <c r="F1023">
        <v>0</v>
      </c>
      <c r="G1023">
        <v>3</v>
      </c>
      <c r="H1023">
        <v>5</v>
      </c>
      <c r="I1023">
        <v>7</v>
      </c>
      <c r="J1023">
        <v>14</v>
      </c>
      <c r="K1023">
        <f t="shared" si="17"/>
        <v>4</v>
      </c>
    </row>
    <row r="1024" spans="2:11" x14ac:dyDescent="0.35">
      <c r="B1024" t="s">
        <v>1020</v>
      </c>
      <c r="C1024">
        <v>42</v>
      </c>
      <c r="D1024">
        <v>2</v>
      </c>
      <c r="E1024">
        <v>0</v>
      </c>
      <c r="F1024">
        <v>15</v>
      </c>
      <c r="G1024">
        <v>4</v>
      </c>
      <c r="H1024">
        <v>1</v>
      </c>
      <c r="I1024">
        <v>9</v>
      </c>
      <c r="J1024">
        <v>12</v>
      </c>
      <c r="K1024">
        <f t="shared" si="17"/>
        <v>5</v>
      </c>
    </row>
    <row r="1025" spans="2:11" x14ac:dyDescent="0.35">
      <c r="B1025" t="s">
        <v>1021</v>
      </c>
      <c r="C1025">
        <v>60</v>
      </c>
      <c r="D1025">
        <v>3</v>
      </c>
      <c r="E1025">
        <v>0</v>
      </c>
      <c r="F1025">
        <v>1</v>
      </c>
      <c r="G1025">
        <v>2</v>
      </c>
      <c r="H1025">
        <v>5</v>
      </c>
      <c r="I1025">
        <v>13</v>
      </c>
      <c r="J1025">
        <v>37</v>
      </c>
      <c r="K1025">
        <f t="shared" si="17"/>
        <v>5</v>
      </c>
    </row>
    <row r="1026" spans="2:11" x14ac:dyDescent="0.35">
      <c r="B1026" t="s">
        <v>1022</v>
      </c>
      <c r="C1026">
        <v>14</v>
      </c>
      <c r="D1026">
        <v>1</v>
      </c>
      <c r="E1026">
        <v>0</v>
      </c>
      <c r="F1026">
        <v>0</v>
      </c>
      <c r="G1026">
        <v>0</v>
      </c>
      <c r="H1026">
        <v>1</v>
      </c>
      <c r="I1026">
        <v>5</v>
      </c>
      <c r="J1026">
        <v>8</v>
      </c>
      <c r="K1026">
        <f t="shared" si="17"/>
        <v>3</v>
      </c>
    </row>
    <row r="1027" spans="2:11" x14ac:dyDescent="0.35">
      <c r="B1027" t="s">
        <v>1023</v>
      </c>
      <c r="C1027">
        <v>13</v>
      </c>
      <c r="D1027">
        <v>1</v>
      </c>
      <c r="E1027">
        <v>0</v>
      </c>
      <c r="F1027">
        <v>0</v>
      </c>
      <c r="G1027">
        <v>0</v>
      </c>
      <c r="H1027">
        <v>1</v>
      </c>
      <c r="I1027">
        <v>5</v>
      </c>
      <c r="J1027">
        <v>7</v>
      </c>
      <c r="K1027">
        <f t="shared" si="17"/>
        <v>3</v>
      </c>
    </row>
    <row r="1028" spans="2:11" x14ac:dyDescent="0.35">
      <c r="B1028" t="s">
        <v>1024</v>
      </c>
      <c r="C1028">
        <v>13</v>
      </c>
      <c r="D1028">
        <v>1</v>
      </c>
      <c r="E1028">
        <v>0</v>
      </c>
      <c r="F1028">
        <v>1</v>
      </c>
      <c r="G1028">
        <v>0</v>
      </c>
      <c r="H1028">
        <v>0</v>
      </c>
      <c r="I1028">
        <v>1</v>
      </c>
      <c r="J1028">
        <v>11</v>
      </c>
      <c r="K1028">
        <f t="shared" si="17"/>
        <v>3</v>
      </c>
    </row>
    <row r="1029" spans="2:11" x14ac:dyDescent="0.35">
      <c r="B1029" t="s">
        <v>1025</v>
      </c>
      <c r="C1029">
        <v>60</v>
      </c>
      <c r="D1029">
        <v>3</v>
      </c>
      <c r="E1029">
        <v>0</v>
      </c>
      <c r="F1029">
        <v>1</v>
      </c>
      <c r="G1029">
        <v>0</v>
      </c>
      <c r="H1029">
        <v>1</v>
      </c>
      <c r="I1029">
        <v>1</v>
      </c>
      <c r="J1029">
        <v>55</v>
      </c>
      <c r="K1029">
        <f t="shared" si="17"/>
        <v>4</v>
      </c>
    </row>
    <row r="1030" spans="2:11" x14ac:dyDescent="0.35">
      <c r="B1030" t="s">
        <v>1026</v>
      </c>
      <c r="C1030">
        <v>127</v>
      </c>
      <c r="D1030">
        <v>1</v>
      </c>
      <c r="E1030">
        <v>0</v>
      </c>
      <c r="F1030">
        <v>1</v>
      </c>
      <c r="G1030">
        <v>2</v>
      </c>
      <c r="H1030">
        <v>12</v>
      </c>
      <c r="I1030">
        <v>61</v>
      </c>
      <c r="J1030">
        <v>51</v>
      </c>
      <c r="K1030">
        <f t="shared" si="17"/>
        <v>5</v>
      </c>
    </row>
    <row r="1031" spans="2:11" x14ac:dyDescent="0.35">
      <c r="B1031" t="s">
        <v>1027</v>
      </c>
      <c r="C1031">
        <v>55</v>
      </c>
      <c r="D1031">
        <v>6</v>
      </c>
      <c r="E1031">
        <v>1</v>
      </c>
      <c r="F1031">
        <v>1</v>
      </c>
      <c r="G1031">
        <v>5</v>
      </c>
      <c r="H1031">
        <v>4</v>
      </c>
      <c r="I1031">
        <v>11</v>
      </c>
      <c r="J1031">
        <v>28</v>
      </c>
      <c r="K1031">
        <f t="shared" si="17"/>
        <v>6</v>
      </c>
    </row>
    <row r="1032" spans="2:11" x14ac:dyDescent="0.35">
      <c r="B1032" t="s">
        <v>1028</v>
      </c>
      <c r="C1032">
        <v>14</v>
      </c>
      <c r="D1032">
        <v>2</v>
      </c>
      <c r="E1032">
        <v>0</v>
      </c>
      <c r="F1032">
        <v>0</v>
      </c>
      <c r="G1032">
        <v>0</v>
      </c>
      <c r="H1032">
        <v>1</v>
      </c>
      <c r="I1032">
        <v>1</v>
      </c>
      <c r="J1032">
        <v>11</v>
      </c>
      <c r="K1032">
        <f t="shared" si="17"/>
        <v>3</v>
      </c>
    </row>
    <row r="1033" spans="2:11" x14ac:dyDescent="0.35">
      <c r="B1033" t="s">
        <v>1029</v>
      </c>
      <c r="C1033">
        <v>21</v>
      </c>
      <c r="D1033">
        <v>1</v>
      </c>
      <c r="E1033">
        <v>1</v>
      </c>
      <c r="F1033">
        <v>1</v>
      </c>
      <c r="G1033">
        <v>0</v>
      </c>
      <c r="H1033">
        <v>0</v>
      </c>
      <c r="I1033">
        <v>5</v>
      </c>
      <c r="J1033">
        <v>14</v>
      </c>
      <c r="K1033">
        <f t="shared" si="17"/>
        <v>4</v>
      </c>
    </row>
    <row r="1034" spans="2:11" x14ac:dyDescent="0.35">
      <c r="B1034" t="s">
        <v>1030</v>
      </c>
      <c r="C1034">
        <v>11</v>
      </c>
      <c r="D1034">
        <v>1</v>
      </c>
      <c r="E1034">
        <v>0</v>
      </c>
      <c r="F1034">
        <v>0</v>
      </c>
      <c r="G1034">
        <v>0</v>
      </c>
      <c r="H1034">
        <v>4</v>
      </c>
      <c r="I1034">
        <v>4</v>
      </c>
      <c r="J1034">
        <v>3</v>
      </c>
      <c r="K1034">
        <f t="shared" si="17"/>
        <v>3</v>
      </c>
    </row>
    <row r="1035" spans="2:11" x14ac:dyDescent="0.35">
      <c r="B1035" t="s">
        <v>1031</v>
      </c>
      <c r="C1035">
        <v>88</v>
      </c>
      <c r="D1035">
        <v>3</v>
      </c>
      <c r="E1035">
        <v>0</v>
      </c>
      <c r="F1035">
        <v>1</v>
      </c>
      <c r="G1035">
        <v>0</v>
      </c>
      <c r="H1035">
        <v>0</v>
      </c>
      <c r="I1035">
        <v>25</v>
      </c>
      <c r="J1035">
        <v>60</v>
      </c>
      <c r="K1035">
        <f t="shared" si="17"/>
        <v>3</v>
      </c>
    </row>
    <row r="1036" spans="2:11" x14ac:dyDescent="0.35">
      <c r="B1036" t="s">
        <v>1032</v>
      </c>
      <c r="C1036">
        <v>37</v>
      </c>
      <c r="D1036">
        <v>1</v>
      </c>
      <c r="E1036">
        <v>0</v>
      </c>
      <c r="F1036">
        <v>1</v>
      </c>
      <c r="G1036">
        <v>8</v>
      </c>
      <c r="H1036">
        <v>5</v>
      </c>
      <c r="I1036">
        <v>12</v>
      </c>
      <c r="J1036">
        <v>11</v>
      </c>
      <c r="K1036">
        <f t="shared" ref="K1036:K1099" si="18">COUNTIF(D1036:I1036, "&gt;0")</f>
        <v>5</v>
      </c>
    </row>
    <row r="1037" spans="2:11" x14ac:dyDescent="0.35">
      <c r="B1037" t="s">
        <v>1033</v>
      </c>
      <c r="C1037">
        <v>30</v>
      </c>
      <c r="D1037">
        <v>2</v>
      </c>
      <c r="E1037">
        <v>0</v>
      </c>
      <c r="F1037">
        <v>1</v>
      </c>
      <c r="G1037">
        <v>0</v>
      </c>
      <c r="H1037">
        <v>1</v>
      </c>
      <c r="I1037">
        <v>3</v>
      </c>
      <c r="J1037">
        <v>24</v>
      </c>
      <c r="K1037">
        <f t="shared" si="18"/>
        <v>4</v>
      </c>
    </row>
    <row r="1038" spans="2:11" x14ac:dyDescent="0.35">
      <c r="B1038" t="s">
        <v>1034</v>
      </c>
      <c r="C1038">
        <v>13</v>
      </c>
      <c r="D1038">
        <v>2</v>
      </c>
      <c r="E1038">
        <v>0</v>
      </c>
      <c r="F1038">
        <v>0</v>
      </c>
      <c r="G1038">
        <v>5</v>
      </c>
      <c r="H1038">
        <v>0</v>
      </c>
      <c r="I1038">
        <v>2</v>
      </c>
      <c r="J1038">
        <v>5</v>
      </c>
      <c r="K1038">
        <f t="shared" si="18"/>
        <v>3</v>
      </c>
    </row>
    <row r="1039" spans="2:11" x14ac:dyDescent="0.35">
      <c r="B1039" t="s">
        <v>1035</v>
      </c>
      <c r="C1039">
        <v>16</v>
      </c>
      <c r="D1039">
        <v>1</v>
      </c>
      <c r="E1039">
        <v>0</v>
      </c>
      <c r="F1039">
        <v>0</v>
      </c>
      <c r="G1039">
        <v>0</v>
      </c>
      <c r="H1039">
        <v>0</v>
      </c>
      <c r="I1039">
        <v>3</v>
      </c>
      <c r="J1039">
        <v>13</v>
      </c>
      <c r="K1039">
        <f t="shared" si="18"/>
        <v>2</v>
      </c>
    </row>
    <row r="1040" spans="2:11" x14ac:dyDescent="0.35">
      <c r="B1040" t="s">
        <v>1036</v>
      </c>
      <c r="C1040">
        <v>34</v>
      </c>
      <c r="D1040">
        <v>3</v>
      </c>
      <c r="E1040">
        <v>0</v>
      </c>
      <c r="F1040">
        <v>0</v>
      </c>
      <c r="G1040">
        <v>1</v>
      </c>
      <c r="H1040">
        <v>2</v>
      </c>
      <c r="I1040">
        <v>8</v>
      </c>
      <c r="J1040">
        <v>21</v>
      </c>
      <c r="K1040">
        <f t="shared" si="18"/>
        <v>4</v>
      </c>
    </row>
    <row r="1041" spans="2:11" x14ac:dyDescent="0.35">
      <c r="B1041" t="s">
        <v>1037</v>
      </c>
      <c r="C1041">
        <v>15</v>
      </c>
      <c r="D1041">
        <v>1</v>
      </c>
      <c r="E1041">
        <v>1</v>
      </c>
      <c r="F1041">
        <v>1</v>
      </c>
      <c r="G1041">
        <v>0</v>
      </c>
      <c r="H1041">
        <v>1</v>
      </c>
      <c r="I1041">
        <v>6</v>
      </c>
      <c r="J1041">
        <v>6</v>
      </c>
      <c r="K1041">
        <f t="shared" si="18"/>
        <v>5</v>
      </c>
    </row>
    <row r="1042" spans="2:11" x14ac:dyDescent="0.35">
      <c r="B1042" t="s">
        <v>1038</v>
      </c>
      <c r="C1042">
        <v>36</v>
      </c>
      <c r="D1042">
        <v>2</v>
      </c>
      <c r="E1042">
        <v>0</v>
      </c>
      <c r="F1042">
        <v>0</v>
      </c>
      <c r="G1042">
        <v>7</v>
      </c>
      <c r="H1042">
        <v>5</v>
      </c>
      <c r="I1042">
        <v>14</v>
      </c>
      <c r="J1042">
        <v>9</v>
      </c>
      <c r="K1042">
        <f t="shared" si="18"/>
        <v>4</v>
      </c>
    </row>
    <row r="1043" spans="2:11" x14ac:dyDescent="0.35">
      <c r="B1043" t="s">
        <v>1039</v>
      </c>
      <c r="C1043">
        <v>49</v>
      </c>
      <c r="D1043">
        <v>8</v>
      </c>
      <c r="E1043">
        <v>0</v>
      </c>
      <c r="F1043">
        <v>0</v>
      </c>
      <c r="G1043">
        <v>3</v>
      </c>
      <c r="H1043">
        <v>5</v>
      </c>
      <c r="I1043">
        <v>14</v>
      </c>
      <c r="J1043">
        <v>20</v>
      </c>
      <c r="K1043">
        <f t="shared" si="18"/>
        <v>4</v>
      </c>
    </row>
    <row r="1044" spans="2:11" x14ac:dyDescent="0.35">
      <c r="B1044" t="s">
        <v>1040</v>
      </c>
      <c r="C1044">
        <v>6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4</v>
      </c>
      <c r="J1044">
        <v>3</v>
      </c>
      <c r="K1044">
        <f t="shared" si="18"/>
        <v>1</v>
      </c>
    </row>
    <row r="1045" spans="2:11" x14ac:dyDescent="0.35">
      <c r="B1045" t="s">
        <v>1041</v>
      </c>
      <c r="C1045">
        <v>37</v>
      </c>
      <c r="D1045">
        <v>1</v>
      </c>
      <c r="E1045">
        <v>2</v>
      </c>
      <c r="F1045">
        <v>0</v>
      </c>
      <c r="G1045">
        <v>1</v>
      </c>
      <c r="H1045">
        <v>0</v>
      </c>
      <c r="I1045">
        <v>23</v>
      </c>
      <c r="J1045">
        <v>11</v>
      </c>
      <c r="K1045">
        <f t="shared" si="18"/>
        <v>4</v>
      </c>
    </row>
    <row r="1046" spans="2:11" x14ac:dyDescent="0.35">
      <c r="B1046" t="s">
        <v>1042</v>
      </c>
      <c r="C1046">
        <v>42</v>
      </c>
      <c r="D1046">
        <v>1</v>
      </c>
      <c r="E1046">
        <v>2</v>
      </c>
      <c r="F1046">
        <v>0</v>
      </c>
      <c r="G1046">
        <v>4</v>
      </c>
      <c r="H1046">
        <v>0</v>
      </c>
      <c r="I1046">
        <v>25</v>
      </c>
      <c r="J1046">
        <v>11</v>
      </c>
      <c r="K1046">
        <f t="shared" si="18"/>
        <v>4</v>
      </c>
    </row>
    <row r="1047" spans="2:11" x14ac:dyDescent="0.35">
      <c r="B1047" t="s">
        <v>1043</v>
      </c>
      <c r="C1047">
        <v>17</v>
      </c>
      <c r="D1047">
        <v>1</v>
      </c>
      <c r="E1047">
        <v>0</v>
      </c>
      <c r="F1047">
        <v>0</v>
      </c>
      <c r="G1047">
        <v>5</v>
      </c>
      <c r="H1047">
        <v>2</v>
      </c>
      <c r="I1047">
        <v>4</v>
      </c>
      <c r="J1047">
        <v>6</v>
      </c>
      <c r="K1047">
        <f t="shared" si="18"/>
        <v>4</v>
      </c>
    </row>
    <row r="1048" spans="2:11" x14ac:dyDescent="0.35">
      <c r="B1048" t="s">
        <v>1044</v>
      </c>
      <c r="C1048">
        <v>65</v>
      </c>
      <c r="D1048">
        <v>0</v>
      </c>
      <c r="E1048">
        <v>0</v>
      </c>
      <c r="F1048">
        <v>0</v>
      </c>
      <c r="G1048">
        <v>10</v>
      </c>
      <c r="H1048">
        <v>3</v>
      </c>
      <c r="I1048">
        <v>32</v>
      </c>
      <c r="J1048">
        <v>21</v>
      </c>
      <c r="K1048">
        <f t="shared" si="18"/>
        <v>3</v>
      </c>
    </row>
    <row r="1049" spans="2:11" x14ac:dyDescent="0.35">
      <c r="B1049" t="s">
        <v>1045</v>
      </c>
      <c r="C1049">
        <v>12</v>
      </c>
      <c r="D1049">
        <v>0</v>
      </c>
      <c r="E1049">
        <v>0</v>
      </c>
      <c r="F1049">
        <v>0</v>
      </c>
      <c r="G1049">
        <v>1</v>
      </c>
      <c r="H1049">
        <v>2</v>
      </c>
      <c r="I1049">
        <v>2</v>
      </c>
      <c r="J1049">
        <v>8</v>
      </c>
      <c r="K1049">
        <f t="shared" si="18"/>
        <v>3</v>
      </c>
    </row>
    <row r="1050" spans="2:11" x14ac:dyDescent="0.35">
      <c r="B1050" t="s">
        <v>1046</v>
      </c>
      <c r="C1050">
        <v>24</v>
      </c>
      <c r="D1050">
        <v>0</v>
      </c>
      <c r="E1050">
        <v>0</v>
      </c>
      <c r="F1050">
        <v>0</v>
      </c>
      <c r="G1050">
        <v>0</v>
      </c>
      <c r="H1050">
        <v>16</v>
      </c>
      <c r="I1050">
        <v>5</v>
      </c>
      <c r="J1050">
        <v>4</v>
      </c>
      <c r="K1050">
        <f t="shared" si="18"/>
        <v>2</v>
      </c>
    </row>
    <row r="1051" spans="2:11" x14ac:dyDescent="0.35">
      <c r="B1051" t="s">
        <v>1047</v>
      </c>
      <c r="C1051">
        <v>17</v>
      </c>
      <c r="D1051">
        <v>3</v>
      </c>
      <c r="E1051">
        <v>0</v>
      </c>
      <c r="F1051">
        <v>0</v>
      </c>
      <c r="G1051">
        <v>0</v>
      </c>
      <c r="H1051">
        <v>2</v>
      </c>
      <c r="I1051">
        <v>3</v>
      </c>
      <c r="J1051">
        <v>10</v>
      </c>
      <c r="K1051">
        <f t="shared" si="18"/>
        <v>3</v>
      </c>
    </row>
    <row r="1052" spans="2:11" x14ac:dyDescent="0.35">
      <c r="B1052" t="s">
        <v>1048</v>
      </c>
      <c r="C1052">
        <v>14</v>
      </c>
      <c r="D1052">
        <v>0</v>
      </c>
      <c r="E1052">
        <v>0</v>
      </c>
      <c r="F1052">
        <v>0</v>
      </c>
      <c r="G1052">
        <v>1</v>
      </c>
      <c r="H1052">
        <v>4</v>
      </c>
      <c r="I1052">
        <v>7</v>
      </c>
      <c r="J1052">
        <v>3</v>
      </c>
      <c r="K1052">
        <f t="shared" si="18"/>
        <v>3</v>
      </c>
    </row>
    <row r="1053" spans="2:11" x14ac:dyDescent="0.35">
      <c r="B1053" t="s">
        <v>1049</v>
      </c>
      <c r="C1053">
        <v>69</v>
      </c>
      <c r="D1053">
        <v>1</v>
      </c>
      <c r="E1053">
        <v>0</v>
      </c>
      <c r="F1053">
        <v>1</v>
      </c>
      <c r="G1053">
        <v>8</v>
      </c>
      <c r="H1053">
        <v>10</v>
      </c>
      <c r="I1053">
        <v>19</v>
      </c>
      <c r="J1053">
        <v>31</v>
      </c>
      <c r="K1053">
        <f t="shared" si="18"/>
        <v>5</v>
      </c>
    </row>
    <row r="1054" spans="2:11" x14ac:dyDescent="0.35">
      <c r="B1054" t="s">
        <v>1050</v>
      </c>
      <c r="C1054">
        <v>82</v>
      </c>
      <c r="D1054">
        <v>0</v>
      </c>
      <c r="E1054">
        <v>0</v>
      </c>
      <c r="F1054">
        <v>0</v>
      </c>
      <c r="G1054">
        <v>5</v>
      </c>
      <c r="H1054">
        <v>0</v>
      </c>
      <c r="I1054">
        <v>59</v>
      </c>
      <c r="J1054">
        <v>19</v>
      </c>
      <c r="K1054">
        <f t="shared" si="18"/>
        <v>2</v>
      </c>
    </row>
    <row r="1055" spans="2:11" x14ac:dyDescent="0.35">
      <c r="B1055" t="s">
        <v>1051</v>
      </c>
      <c r="C1055">
        <v>4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3</v>
      </c>
      <c r="J1055">
        <v>2</v>
      </c>
      <c r="K1055">
        <f t="shared" si="18"/>
        <v>1</v>
      </c>
    </row>
    <row r="1056" spans="2:11" x14ac:dyDescent="0.35">
      <c r="B1056" t="s">
        <v>1052</v>
      </c>
      <c r="C1056">
        <v>12</v>
      </c>
      <c r="D1056">
        <v>1</v>
      </c>
      <c r="E1056">
        <v>0</v>
      </c>
      <c r="F1056">
        <v>0</v>
      </c>
      <c r="G1056">
        <v>0</v>
      </c>
      <c r="H1056">
        <v>0</v>
      </c>
      <c r="I1056">
        <v>1</v>
      </c>
      <c r="J1056">
        <v>11</v>
      </c>
      <c r="K1056">
        <f t="shared" si="18"/>
        <v>2</v>
      </c>
    </row>
    <row r="1057" spans="2:11" x14ac:dyDescent="0.35">
      <c r="B1057" t="s">
        <v>1053</v>
      </c>
      <c r="C1057">
        <v>7</v>
      </c>
      <c r="D1057">
        <v>1</v>
      </c>
      <c r="E1057">
        <v>0</v>
      </c>
      <c r="F1057">
        <v>0</v>
      </c>
      <c r="G1057">
        <v>1</v>
      </c>
      <c r="H1057">
        <v>0</v>
      </c>
      <c r="I1057">
        <v>1</v>
      </c>
      <c r="J1057">
        <v>5</v>
      </c>
      <c r="K1057">
        <f t="shared" si="18"/>
        <v>3</v>
      </c>
    </row>
    <row r="1058" spans="2:11" x14ac:dyDescent="0.35">
      <c r="B1058" t="s">
        <v>1054</v>
      </c>
      <c r="C1058">
        <v>22</v>
      </c>
      <c r="D1058">
        <v>2</v>
      </c>
      <c r="E1058">
        <v>0</v>
      </c>
      <c r="F1058">
        <v>0</v>
      </c>
      <c r="G1058">
        <v>2</v>
      </c>
      <c r="H1058">
        <v>3</v>
      </c>
      <c r="I1058">
        <v>6</v>
      </c>
      <c r="J1058">
        <v>10</v>
      </c>
      <c r="K1058">
        <f t="shared" si="18"/>
        <v>4</v>
      </c>
    </row>
    <row r="1059" spans="2:11" x14ac:dyDescent="0.35">
      <c r="B1059" t="s">
        <v>1055</v>
      </c>
      <c r="C1059">
        <v>11</v>
      </c>
      <c r="D1059">
        <v>0</v>
      </c>
      <c r="E1059">
        <v>0</v>
      </c>
      <c r="F1059">
        <v>0</v>
      </c>
      <c r="G1059">
        <v>0</v>
      </c>
      <c r="H1059">
        <v>1</v>
      </c>
      <c r="I1059">
        <v>9</v>
      </c>
      <c r="J1059">
        <v>2</v>
      </c>
      <c r="K1059">
        <f t="shared" si="18"/>
        <v>2</v>
      </c>
    </row>
    <row r="1060" spans="2:11" x14ac:dyDescent="0.35">
      <c r="B1060" t="s">
        <v>1056</v>
      </c>
      <c r="C1060">
        <v>21</v>
      </c>
      <c r="D1060">
        <v>2</v>
      </c>
      <c r="E1060">
        <v>0</v>
      </c>
      <c r="F1060">
        <v>0</v>
      </c>
      <c r="G1060">
        <v>4</v>
      </c>
      <c r="H1060">
        <v>2</v>
      </c>
      <c r="I1060">
        <v>12</v>
      </c>
      <c r="J1060">
        <v>2</v>
      </c>
      <c r="K1060">
        <f t="shared" si="18"/>
        <v>4</v>
      </c>
    </row>
    <row r="1061" spans="2:11" x14ac:dyDescent="0.35">
      <c r="B1061" t="s">
        <v>1057</v>
      </c>
      <c r="C1061">
        <v>42</v>
      </c>
      <c r="D1061">
        <v>1</v>
      </c>
      <c r="E1061">
        <v>0</v>
      </c>
      <c r="F1061">
        <v>0</v>
      </c>
      <c r="G1061">
        <v>5</v>
      </c>
      <c r="H1061">
        <v>1</v>
      </c>
      <c r="I1061">
        <v>10</v>
      </c>
      <c r="J1061">
        <v>26</v>
      </c>
      <c r="K1061">
        <f t="shared" si="18"/>
        <v>4</v>
      </c>
    </row>
    <row r="1062" spans="2:11" x14ac:dyDescent="0.35">
      <c r="B1062" t="s">
        <v>1058</v>
      </c>
      <c r="C1062">
        <v>26</v>
      </c>
      <c r="D1062">
        <v>1</v>
      </c>
      <c r="E1062">
        <v>0</v>
      </c>
      <c r="F1062">
        <v>1</v>
      </c>
      <c r="G1062">
        <v>1</v>
      </c>
      <c r="H1062">
        <v>4</v>
      </c>
      <c r="I1062">
        <v>9</v>
      </c>
      <c r="J1062">
        <v>11</v>
      </c>
      <c r="K1062">
        <f t="shared" si="18"/>
        <v>5</v>
      </c>
    </row>
    <row r="1063" spans="2:11" x14ac:dyDescent="0.35">
      <c r="B1063" t="s">
        <v>1059</v>
      </c>
      <c r="C1063">
        <v>43</v>
      </c>
      <c r="D1063">
        <v>1</v>
      </c>
      <c r="E1063">
        <v>0</v>
      </c>
      <c r="F1063">
        <v>0</v>
      </c>
      <c r="G1063">
        <v>5</v>
      </c>
      <c r="H1063">
        <v>1</v>
      </c>
      <c r="I1063">
        <v>10</v>
      </c>
      <c r="J1063">
        <v>27</v>
      </c>
      <c r="K1063">
        <f t="shared" si="18"/>
        <v>4</v>
      </c>
    </row>
    <row r="1064" spans="2:11" x14ac:dyDescent="0.35">
      <c r="B1064" t="s">
        <v>1060</v>
      </c>
      <c r="C1064">
        <v>45</v>
      </c>
      <c r="D1064">
        <v>4</v>
      </c>
      <c r="E1064">
        <v>0</v>
      </c>
      <c r="F1064">
        <v>0</v>
      </c>
      <c r="G1064">
        <v>2</v>
      </c>
      <c r="H1064">
        <v>1</v>
      </c>
      <c r="I1064">
        <v>25</v>
      </c>
      <c r="J1064">
        <v>14</v>
      </c>
      <c r="K1064">
        <f t="shared" si="18"/>
        <v>4</v>
      </c>
    </row>
    <row r="1065" spans="2:11" x14ac:dyDescent="0.35">
      <c r="B1065" t="s">
        <v>1061</v>
      </c>
      <c r="C1065">
        <v>26</v>
      </c>
      <c r="D1065">
        <v>4</v>
      </c>
      <c r="E1065">
        <v>0</v>
      </c>
      <c r="F1065">
        <v>2</v>
      </c>
      <c r="G1065">
        <v>0</v>
      </c>
      <c r="H1065">
        <v>2</v>
      </c>
      <c r="I1065">
        <v>8</v>
      </c>
      <c r="J1065">
        <v>11</v>
      </c>
      <c r="K1065">
        <f t="shared" si="18"/>
        <v>4</v>
      </c>
    </row>
    <row r="1066" spans="2:11" x14ac:dyDescent="0.35">
      <c r="B1066" t="s">
        <v>1062</v>
      </c>
      <c r="C1066">
        <v>26</v>
      </c>
      <c r="D1066">
        <v>0</v>
      </c>
      <c r="E1066">
        <v>0</v>
      </c>
      <c r="F1066">
        <v>0</v>
      </c>
      <c r="G1066">
        <v>3</v>
      </c>
      <c r="H1066">
        <v>2</v>
      </c>
      <c r="I1066">
        <v>1</v>
      </c>
      <c r="J1066">
        <v>21</v>
      </c>
      <c r="K1066">
        <f t="shared" si="18"/>
        <v>3</v>
      </c>
    </row>
    <row r="1067" spans="2:11" x14ac:dyDescent="0.35">
      <c r="B1067" t="s">
        <v>1063</v>
      </c>
      <c r="C1067">
        <v>49</v>
      </c>
      <c r="D1067">
        <v>0</v>
      </c>
      <c r="E1067">
        <v>0</v>
      </c>
      <c r="F1067">
        <v>15</v>
      </c>
      <c r="G1067">
        <v>2</v>
      </c>
      <c r="H1067">
        <v>0</v>
      </c>
      <c r="I1067">
        <v>13</v>
      </c>
      <c r="J1067">
        <v>20</v>
      </c>
      <c r="K1067">
        <f t="shared" si="18"/>
        <v>3</v>
      </c>
    </row>
    <row r="1068" spans="2:11" x14ac:dyDescent="0.35">
      <c r="B1068" t="s">
        <v>1064</v>
      </c>
      <c r="C1068">
        <v>53</v>
      </c>
      <c r="D1068">
        <v>7</v>
      </c>
      <c r="E1068">
        <v>0</v>
      </c>
      <c r="F1068">
        <v>0</v>
      </c>
      <c r="G1068">
        <v>2</v>
      </c>
      <c r="H1068">
        <v>3</v>
      </c>
      <c r="I1068">
        <v>23</v>
      </c>
      <c r="J1068">
        <v>19</v>
      </c>
      <c r="K1068">
        <f t="shared" si="18"/>
        <v>4</v>
      </c>
    </row>
    <row r="1069" spans="2:11" x14ac:dyDescent="0.35">
      <c r="B1069" t="s">
        <v>1065</v>
      </c>
      <c r="C1069">
        <v>14</v>
      </c>
      <c r="D1069">
        <v>5</v>
      </c>
      <c r="E1069">
        <v>0</v>
      </c>
      <c r="F1069">
        <v>0</v>
      </c>
      <c r="G1069">
        <v>0</v>
      </c>
      <c r="H1069">
        <v>0</v>
      </c>
      <c r="I1069">
        <v>5</v>
      </c>
      <c r="J1069">
        <v>5</v>
      </c>
      <c r="K1069">
        <f t="shared" si="18"/>
        <v>2</v>
      </c>
    </row>
    <row r="1070" spans="2:11" x14ac:dyDescent="0.35">
      <c r="B1070" t="s">
        <v>1066</v>
      </c>
      <c r="C1070">
        <v>17</v>
      </c>
      <c r="D1070">
        <v>4</v>
      </c>
      <c r="E1070">
        <v>0</v>
      </c>
      <c r="F1070">
        <v>0</v>
      </c>
      <c r="G1070">
        <v>3</v>
      </c>
      <c r="H1070">
        <v>2</v>
      </c>
      <c r="I1070">
        <v>2</v>
      </c>
      <c r="J1070">
        <v>7</v>
      </c>
      <c r="K1070">
        <f t="shared" si="18"/>
        <v>4</v>
      </c>
    </row>
    <row r="1071" spans="2:11" x14ac:dyDescent="0.35">
      <c r="B1071" t="s">
        <v>1067</v>
      </c>
      <c r="C1071">
        <v>33</v>
      </c>
      <c r="D1071">
        <v>1</v>
      </c>
      <c r="E1071">
        <v>0</v>
      </c>
      <c r="F1071">
        <v>15</v>
      </c>
      <c r="G1071">
        <v>0</v>
      </c>
      <c r="H1071">
        <v>0</v>
      </c>
      <c r="I1071">
        <v>6</v>
      </c>
      <c r="J1071">
        <v>12</v>
      </c>
      <c r="K1071">
        <f t="shared" si="18"/>
        <v>3</v>
      </c>
    </row>
    <row r="1072" spans="2:11" x14ac:dyDescent="0.35">
      <c r="B1072" t="s">
        <v>1068</v>
      </c>
      <c r="C1072">
        <v>10</v>
      </c>
      <c r="D1072">
        <v>1</v>
      </c>
      <c r="E1072">
        <v>0</v>
      </c>
      <c r="F1072">
        <v>0</v>
      </c>
      <c r="G1072">
        <v>1</v>
      </c>
      <c r="H1072">
        <v>1</v>
      </c>
      <c r="I1072">
        <v>3</v>
      </c>
      <c r="J1072">
        <v>5</v>
      </c>
      <c r="K1072">
        <f t="shared" si="18"/>
        <v>4</v>
      </c>
    </row>
    <row r="1073" spans="2:11" x14ac:dyDescent="0.35">
      <c r="B1073" t="s">
        <v>1069</v>
      </c>
      <c r="C1073">
        <v>12</v>
      </c>
      <c r="D1073">
        <v>1</v>
      </c>
      <c r="E1073">
        <v>0</v>
      </c>
      <c r="F1073">
        <v>1</v>
      </c>
      <c r="G1073">
        <v>0</v>
      </c>
      <c r="H1073">
        <v>3</v>
      </c>
      <c r="I1073">
        <v>2</v>
      </c>
      <c r="J1073">
        <v>6</v>
      </c>
      <c r="K1073">
        <f t="shared" si="18"/>
        <v>4</v>
      </c>
    </row>
    <row r="1074" spans="2:11" x14ac:dyDescent="0.35">
      <c r="B1074" t="s">
        <v>1070</v>
      </c>
      <c r="C1074">
        <v>19</v>
      </c>
      <c r="D1074">
        <v>2</v>
      </c>
      <c r="E1074">
        <v>0</v>
      </c>
      <c r="F1074">
        <v>0</v>
      </c>
      <c r="G1074">
        <v>0</v>
      </c>
      <c r="H1074">
        <v>3</v>
      </c>
      <c r="I1074">
        <v>7</v>
      </c>
      <c r="J1074">
        <v>8</v>
      </c>
      <c r="K1074">
        <f t="shared" si="18"/>
        <v>3</v>
      </c>
    </row>
    <row r="1075" spans="2:11" x14ac:dyDescent="0.35">
      <c r="B1075" t="s">
        <v>1071</v>
      </c>
      <c r="C1075">
        <v>15</v>
      </c>
      <c r="D1075">
        <v>1</v>
      </c>
      <c r="E1075">
        <v>0</v>
      </c>
      <c r="F1075">
        <v>0</v>
      </c>
      <c r="G1075">
        <v>1</v>
      </c>
      <c r="H1075">
        <v>2</v>
      </c>
      <c r="I1075">
        <v>2</v>
      </c>
      <c r="J1075">
        <v>10</v>
      </c>
      <c r="K1075">
        <f t="shared" si="18"/>
        <v>4</v>
      </c>
    </row>
    <row r="1076" spans="2:11" x14ac:dyDescent="0.35">
      <c r="B1076" t="s">
        <v>1072</v>
      </c>
      <c r="C1076">
        <v>15</v>
      </c>
      <c r="D1076">
        <v>1</v>
      </c>
      <c r="E1076">
        <v>0</v>
      </c>
      <c r="F1076">
        <v>0</v>
      </c>
      <c r="G1076">
        <v>0</v>
      </c>
      <c r="H1076">
        <v>2</v>
      </c>
      <c r="I1076">
        <v>0</v>
      </c>
      <c r="J1076">
        <v>13</v>
      </c>
      <c r="K1076">
        <f t="shared" si="18"/>
        <v>2</v>
      </c>
    </row>
    <row r="1077" spans="2:11" x14ac:dyDescent="0.35">
      <c r="B1077" t="s">
        <v>1073</v>
      </c>
      <c r="C1077">
        <v>11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8</v>
      </c>
      <c r="J1077">
        <v>4</v>
      </c>
      <c r="K1077">
        <f t="shared" si="18"/>
        <v>1</v>
      </c>
    </row>
    <row r="1078" spans="2:11" x14ac:dyDescent="0.35">
      <c r="B1078" t="s">
        <v>1074</v>
      </c>
      <c r="C1078">
        <v>6</v>
      </c>
      <c r="D1078">
        <v>0</v>
      </c>
      <c r="E1078">
        <v>0</v>
      </c>
      <c r="F1078">
        <v>0</v>
      </c>
      <c r="G1078">
        <v>1</v>
      </c>
      <c r="H1078">
        <v>2</v>
      </c>
      <c r="I1078">
        <v>2</v>
      </c>
      <c r="J1078">
        <v>2</v>
      </c>
      <c r="K1078">
        <f t="shared" si="18"/>
        <v>3</v>
      </c>
    </row>
    <row r="1079" spans="2:11" x14ac:dyDescent="0.35">
      <c r="B1079" t="s">
        <v>1075</v>
      </c>
      <c r="C1079">
        <v>18</v>
      </c>
      <c r="D1079">
        <v>0</v>
      </c>
      <c r="E1079">
        <v>0</v>
      </c>
      <c r="F1079">
        <v>1</v>
      </c>
      <c r="G1079">
        <v>1</v>
      </c>
      <c r="H1079">
        <v>3</v>
      </c>
      <c r="I1079">
        <v>8</v>
      </c>
      <c r="J1079">
        <v>6</v>
      </c>
      <c r="K1079">
        <f t="shared" si="18"/>
        <v>4</v>
      </c>
    </row>
    <row r="1080" spans="2:11" x14ac:dyDescent="0.35">
      <c r="B1080" t="s">
        <v>1076</v>
      </c>
      <c r="C1080">
        <v>29</v>
      </c>
      <c r="D1080">
        <v>5</v>
      </c>
      <c r="E1080">
        <v>3</v>
      </c>
      <c r="F1080">
        <v>0</v>
      </c>
      <c r="G1080">
        <v>0</v>
      </c>
      <c r="H1080">
        <v>0</v>
      </c>
      <c r="I1080">
        <v>4</v>
      </c>
      <c r="J1080">
        <v>18</v>
      </c>
      <c r="K1080">
        <f t="shared" si="18"/>
        <v>3</v>
      </c>
    </row>
    <row r="1081" spans="2:11" x14ac:dyDescent="0.35">
      <c r="B1081" t="s">
        <v>1077</v>
      </c>
      <c r="C1081">
        <v>45</v>
      </c>
      <c r="D1081">
        <v>3</v>
      </c>
      <c r="E1081">
        <v>0</v>
      </c>
      <c r="F1081">
        <v>0</v>
      </c>
      <c r="G1081">
        <v>4</v>
      </c>
      <c r="H1081">
        <v>2</v>
      </c>
      <c r="I1081">
        <v>14</v>
      </c>
      <c r="J1081">
        <v>23</v>
      </c>
      <c r="K1081">
        <f t="shared" si="18"/>
        <v>4</v>
      </c>
    </row>
    <row r="1082" spans="2:11" x14ac:dyDescent="0.35">
      <c r="B1082" t="s">
        <v>1078</v>
      </c>
      <c r="C1082">
        <v>22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8</v>
      </c>
      <c r="J1082">
        <v>11</v>
      </c>
      <c r="K1082">
        <f t="shared" si="18"/>
        <v>2</v>
      </c>
    </row>
    <row r="1083" spans="2:11" x14ac:dyDescent="0.35">
      <c r="B1083" t="s">
        <v>1079</v>
      </c>
      <c r="C1083">
        <v>93</v>
      </c>
      <c r="D1083">
        <v>2</v>
      </c>
      <c r="E1083">
        <v>0</v>
      </c>
      <c r="F1083">
        <v>0</v>
      </c>
      <c r="G1083">
        <v>2</v>
      </c>
      <c r="H1083">
        <v>4</v>
      </c>
      <c r="I1083">
        <v>60</v>
      </c>
      <c r="J1083">
        <v>26</v>
      </c>
      <c r="K1083">
        <f t="shared" si="18"/>
        <v>4</v>
      </c>
    </row>
    <row r="1084" spans="2:11" x14ac:dyDescent="0.35">
      <c r="B1084" t="s">
        <v>1080</v>
      </c>
      <c r="C1084">
        <v>27</v>
      </c>
      <c r="D1084">
        <v>3</v>
      </c>
      <c r="E1084">
        <v>0</v>
      </c>
      <c r="F1084">
        <v>0</v>
      </c>
      <c r="G1084">
        <v>7</v>
      </c>
      <c r="H1084">
        <v>2</v>
      </c>
      <c r="I1084">
        <v>9</v>
      </c>
      <c r="J1084">
        <v>7</v>
      </c>
      <c r="K1084">
        <f t="shared" si="18"/>
        <v>4</v>
      </c>
    </row>
    <row r="1085" spans="2:11" x14ac:dyDescent="0.35">
      <c r="B1085" t="s">
        <v>1081</v>
      </c>
      <c r="C1085">
        <v>21</v>
      </c>
      <c r="D1085">
        <v>1</v>
      </c>
      <c r="E1085">
        <v>1</v>
      </c>
      <c r="F1085">
        <v>0</v>
      </c>
      <c r="G1085">
        <v>0</v>
      </c>
      <c r="H1085">
        <v>2</v>
      </c>
      <c r="I1085">
        <v>7</v>
      </c>
      <c r="J1085">
        <v>11</v>
      </c>
      <c r="K1085">
        <f t="shared" si="18"/>
        <v>4</v>
      </c>
    </row>
    <row r="1086" spans="2:11" x14ac:dyDescent="0.35">
      <c r="B1086" t="s">
        <v>1082</v>
      </c>
      <c r="C1086">
        <v>7</v>
      </c>
      <c r="D1086">
        <v>2</v>
      </c>
      <c r="E1086">
        <v>0</v>
      </c>
      <c r="F1086">
        <v>0</v>
      </c>
      <c r="G1086">
        <v>0</v>
      </c>
      <c r="H1086">
        <v>0</v>
      </c>
      <c r="I1086">
        <v>1</v>
      </c>
      <c r="J1086">
        <v>5</v>
      </c>
      <c r="K1086">
        <f t="shared" si="18"/>
        <v>2</v>
      </c>
    </row>
    <row r="1087" spans="2:11" x14ac:dyDescent="0.35">
      <c r="B1087" t="s">
        <v>1083</v>
      </c>
      <c r="C1087">
        <v>7</v>
      </c>
      <c r="D1087">
        <v>2</v>
      </c>
      <c r="E1087">
        <v>0</v>
      </c>
      <c r="F1087">
        <v>0</v>
      </c>
      <c r="G1087">
        <v>0</v>
      </c>
      <c r="H1087">
        <v>0</v>
      </c>
      <c r="I1087">
        <v>1</v>
      </c>
      <c r="J1087">
        <v>5</v>
      </c>
      <c r="K1087">
        <f t="shared" si="18"/>
        <v>2</v>
      </c>
    </row>
    <row r="1088" spans="2:11" x14ac:dyDescent="0.35">
      <c r="B1088" t="s">
        <v>1084</v>
      </c>
      <c r="C1088">
        <v>36</v>
      </c>
      <c r="D1088">
        <v>3</v>
      </c>
      <c r="E1088">
        <v>0</v>
      </c>
      <c r="F1088">
        <v>0</v>
      </c>
      <c r="G1088">
        <v>6</v>
      </c>
      <c r="H1088">
        <v>10</v>
      </c>
      <c r="I1088">
        <v>8</v>
      </c>
      <c r="J1088">
        <v>10</v>
      </c>
      <c r="K1088">
        <f t="shared" si="18"/>
        <v>4</v>
      </c>
    </row>
    <row r="1089" spans="2:11" x14ac:dyDescent="0.35">
      <c r="B1089" t="s">
        <v>1085</v>
      </c>
      <c r="C1089">
        <v>69</v>
      </c>
      <c r="D1089">
        <v>1</v>
      </c>
      <c r="E1089">
        <v>0</v>
      </c>
      <c r="F1089">
        <v>0</v>
      </c>
      <c r="G1089">
        <v>1</v>
      </c>
      <c r="H1089">
        <v>30</v>
      </c>
      <c r="I1089">
        <v>13</v>
      </c>
      <c r="J1089">
        <v>25</v>
      </c>
      <c r="K1089">
        <f t="shared" si="18"/>
        <v>4</v>
      </c>
    </row>
    <row r="1090" spans="2:11" x14ac:dyDescent="0.35">
      <c r="B1090" t="s">
        <v>1086</v>
      </c>
      <c r="C1090">
        <v>24</v>
      </c>
      <c r="D1090">
        <v>3</v>
      </c>
      <c r="E1090">
        <v>0</v>
      </c>
      <c r="F1090">
        <v>0</v>
      </c>
      <c r="G1090">
        <v>0</v>
      </c>
      <c r="H1090">
        <v>4</v>
      </c>
      <c r="I1090">
        <v>5</v>
      </c>
      <c r="J1090">
        <v>13</v>
      </c>
      <c r="K1090">
        <f t="shared" si="18"/>
        <v>3</v>
      </c>
    </row>
    <row r="1091" spans="2:11" x14ac:dyDescent="0.35">
      <c r="B1091" t="s">
        <v>1087</v>
      </c>
      <c r="C1091">
        <v>13</v>
      </c>
      <c r="D1091">
        <v>1</v>
      </c>
      <c r="E1091">
        <v>0</v>
      </c>
      <c r="F1091">
        <v>0</v>
      </c>
      <c r="G1091">
        <v>0</v>
      </c>
      <c r="H1091">
        <v>0</v>
      </c>
      <c r="I1091">
        <v>5</v>
      </c>
      <c r="J1091">
        <v>8</v>
      </c>
      <c r="K1091">
        <f t="shared" si="18"/>
        <v>2</v>
      </c>
    </row>
    <row r="1092" spans="2:11" x14ac:dyDescent="0.35">
      <c r="B1092" t="s">
        <v>1088</v>
      </c>
      <c r="C1092">
        <v>40</v>
      </c>
      <c r="D1092">
        <v>1</v>
      </c>
      <c r="E1092">
        <v>0</v>
      </c>
      <c r="F1092">
        <v>0</v>
      </c>
      <c r="G1092">
        <v>9</v>
      </c>
      <c r="H1092">
        <v>5</v>
      </c>
      <c r="I1092">
        <v>14</v>
      </c>
      <c r="J1092">
        <v>12</v>
      </c>
      <c r="K1092">
        <f t="shared" si="18"/>
        <v>4</v>
      </c>
    </row>
    <row r="1093" spans="2:11" x14ac:dyDescent="0.35">
      <c r="B1093" t="s">
        <v>1089</v>
      </c>
      <c r="C1093">
        <v>29</v>
      </c>
      <c r="D1093">
        <v>0</v>
      </c>
      <c r="E1093">
        <v>0</v>
      </c>
      <c r="F1093">
        <v>0</v>
      </c>
      <c r="G1093">
        <v>0</v>
      </c>
      <c r="H1093">
        <v>7</v>
      </c>
      <c r="I1093">
        <v>6</v>
      </c>
      <c r="J1093">
        <v>17</v>
      </c>
      <c r="K1093">
        <f t="shared" si="18"/>
        <v>2</v>
      </c>
    </row>
    <row r="1094" spans="2:11" x14ac:dyDescent="0.35">
      <c r="B1094" t="s">
        <v>1090</v>
      </c>
      <c r="C1094">
        <v>45</v>
      </c>
      <c r="D1094">
        <v>4</v>
      </c>
      <c r="E1094">
        <v>0</v>
      </c>
      <c r="F1094">
        <v>4</v>
      </c>
      <c r="G1094">
        <v>3</v>
      </c>
      <c r="H1094">
        <v>2</v>
      </c>
      <c r="I1094">
        <v>5</v>
      </c>
      <c r="J1094">
        <v>28</v>
      </c>
      <c r="K1094">
        <f t="shared" si="18"/>
        <v>5</v>
      </c>
    </row>
    <row r="1095" spans="2:11" x14ac:dyDescent="0.35">
      <c r="B1095" t="s">
        <v>1091</v>
      </c>
      <c r="C1095">
        <v>18</v>
      </c>
      <c r="D1095">
        <v>1</v>
      </c>
      <c r="E1095">
        <v>0</v>
      </c>
      <c r="F1095">
        <v>0</v>
      </c>
      <c r="G1095">
        <v>1</v>
      </c>
      <c r="H1095">
        <v>3</v>
      </c>
      <c r="I1095">
        <v>6</v>
      </c>
      <c r="J1095">
        <v>8</v>
      </c>
      <c r="K1095">
        <f t="shared" si="18"/>
        <v>4</v>
      </c>
    </row>
    <row r="1096" spans="2:11" x14ac:dyDescent="0.35">
      <c r="B1096" t="s">
        <v>1092</v>
      </c>
      <c r="C1096">
        <v>19</v>
      </c>
      <c r="D1096">
        <v>0</v>
      </c>
      <c r="E1096">
        <v>0</v>
      </c>
      <c r="F1096">
        <v>0</v>
      </c>
      <c r="G1096">
        <v>9</v>
      </c>
      <c r="H1096">
        <v>2</v>
      </c>
      <c r="I1096">
        <v>4</v>
      </c>
      <c r="J1096">
        <v>5</v>
      </c>
      <c r="K1096">
        <f t="shared" si="18"/>
        <v>3</v>
      </c>
    </row>
    <row r="1097" spans="2:11" x14ac:dyDescent="0.35">
      <c r="B1097" t="s">
        <v>1093</v>
      </c>
      <c r="C1097">
        <v>32</v>
      </c>
      <c r="D1097">
        <v>1</v>
      </c>
      <c r="E1097">
        <v>0</v>
      </c>
      <c r="F1097">
        <v>0</v>
      </c>
      <c r="G1097">
        <v>3</v>
      </c>
      <c r="H1097">
        <v>10</v>
      </c>
      <c r="I1097">
        <v>4</v>
      </c>
      <c r="J1097">
        <v>15</v>
      </c>
      <c r="K1097">
        <f t="shared" si="18"/>
        <v>4</v>
      </c>
    </row>
    <row r="1098" spans="2:11" x14ac:dyDescent="0.35">
      <c r="B1098" t="s">
        <v>1094</v>
      </c>
      <c r="C1098">
        <v>37</v>
      </c>
      <c r="D1098">
        <v>1</v>
      </c>
      <c r="E1098">
        <v>0</v>
      </c>
      <c r="F1098">
        <v>0</v>
      </c>
      <c r="G1098">
        <v>1</v>
      </c>
      <c r="H1098">
        <v>1</v>
      </c>
      <c r="I1098">
        <v>6</v>
      </c>
      <c r="J1098">
        <v>29</v>
      </c>
      <c r="K1098">
        <f t="shared" si="18"/>
        <v>4</v>
      </c>
    </row>
    <row r="1099" spans="2:11" x14ac:dyDescent="0.35">
      <c r="B1099" t="s">
        <v>1095</v>
      </c>
      <c r="C1099">
        <v>14</v>
      </c>
      <c r="D1099">
        <v>1</v>
      </c>
      <c r="E1099">
        <v>0</v>
      </c>
      <c r="F1099">
        <v>1</v>
      </c>
      <c r="G1099">
        <v>0</v>
      </c>
      <c r="H1099">
        <v>4</v>
      </c>
      <c r="I1099">
        <v>5</v>
      </c>
      <c r="J1099">
        <v>4</v>
      </c>
      <c r="K1099">
        <f t="shared" si="18"/>
        <v>4</v>
      </c>
    </row>
    <row r="1100" spans="2:11" x14ac:dyDescent="0.35">
      <c r="B1100" t="s">
        <v>1096</v>
      </c>
      <c r="C1100">
        <v>48</v>
      </c>
      <c r="D1100">
        <v>3</v>
      </c>
      <c r="E1100">
        <v>0</v>
      </c>
      <c r="F1100">
        <v>2</v>
      </c>
      <c r="G1100">
        <v>0</v>
      </c>
      <c r="H1100">
        <v>5</v>
      </c>
      <c r="I1100">
        <v>23</v>
      </c>
      <c r="J1100">
        <v>16</v>
      </c>
      <c r="K1100">
        <f t="shared" ref="K1100:K1163" si="19">COUNTIF(D1100:I1100, "&gt;0")</f>
        <v>4</v>
      </c>
    </row>
    <row r="1101" spans="2:11" x14ac:dyDescent="0.35">
      <c r="B1101" t="s">
        <v>1097</v>
      </c>
      <c r="C1101">
        <v>32</v>
      </c>
      <c r="D1101">
        <v>7</v>
      </c>
      <c r="E1101">
        <v>0</v>
      </c>
      <c r="F1101">
        <v>0</v>
      </c>
      <c r="G1101">
        <v>2</v>
      </c>
      <c r="H1101">
        <v>2</v>
      </c>
      <c r="I1101">
        <v>14</v>
      </c>
      <c r="J1101">
        <v>8</v>
      </c>
      <c r="K1101">
        <f t="shared" si="19"/>
        <v>4</v>
      </c>
    </row>
    <row r="1102" spans="2:11" x14ac:dyDescent="0.35">
      <c r="B1102" t="s">
        <v>1098</v>
      </c>
      <c r="C1102">
        <v>35</v>
      </c>
      <c r="D1102">
        <v>4</v>
      </c>
      <c r="E1102">
        <v>0</v>
      </c>
      <c r="F1102">
        <v>0</v>
      </c>
      <c r="G1102">
        <v>2</v>
      </c>
      <c r="H1102">
        <v>4</v>
      </c>
      <c r="I1102">
        <v>7</v>
      </c>
      <c r="J1102">
        <v>19</v>
      </c>
      <c r="K1102">
        <f t="shared" si="19"/>
        <v>4</v>
      </c>
    </row>
    <row r="1103" spans="2:11" x14ac:dyDescent="0.35">
      <c r="B1103" t="s">
        <v>1099</v>
      </c>
      <c r="C1103">
        <v>53</v>
      </c>
      <c r="D1103">
        <v>5</v>
      </c>
      <c r="E1103">
        <v>0</v>
      </c>
      <c r="F1103">
        <v>0</v>
      </c>
      <c r="G1103">
        <v>1</v>
      </c>
      <c r="H1103">
        <v>13</v>
      </c>
      <c r="I1103">
        <v>29</v>
      </c>
      <c r="J1103">
        <v>6</v>
      </c>
      <c r="K1103">
        <f t="shared" si="19"/>
        <v>4</v>
      </c>
    </row>
    <row r="1104" spans="2:11" x14ac:dyDescent="0.35">
      <c r="B1104" t="s">
        <v>1100</v>
      </c>
      <c r="C1104">
        <v>34</v>
      </c>
      <c r="D1104">
        <v>2</v>
      </c>
      <c r="E1104">
        <v>1</v>
      </c>
      <c r="F1104">
        <v>0</v>
      </c>
      <c r="G1104">
        <v>8</v>
      </c>
      <c r="H1104">
        <v>0</v>
      </c>
      <c r="I1104">
        <v>16</v>
      </c>
      <c r="J1104">
        <v>8</v>
      </c>
      <c r="K1104">
        <f t="shared" si="19"/>
        <v>4</v>
      </c>
    </row>
    <row r="1105" spans="2:11" x14ac:dyDescent="0.35">
      <c r="B1105" t="s">
        <v>1101</v>
      </c>
      <c r="C1105">
        <v>40</v>
      </c>
      <c r="D1105">
        <v>5</v>
      </c>
      <c r="E1105">
        <v>1</v>
      </c>
      <c r="F1105">
        <v>1</v>
      </c>
      <c r="G1105">
        <v>6</v>
      </c>
      <c r="H1105">
        <v>5</v>
      </c>
      <c r="I1105">
        <v>5</v>
      </c>
      <c r="J1105">
        <v>18</v>
      </c>
      <c r="K1105">
        <f t="shared" si="19"/>
        <v>6</v>
      </c>
    </row>
    <row r="1106" spans="2:11" x14ac:dyDescent="0.35">
      <c r="B1106" t="s">
        <v>1102</v>
      </c>
      <c r="C1106">
        <v>34</v>
      </c>
      <c r="D1106">
        <v>3</v>
      </c>
      <c r="E1106">
        <v>0</v>
      </c>
      <c r="F1106">
        <v>1</v>
      </c>
      <c r="G1106">
        <v>2</v>
      </c>
      <c r="H1106">
        <v>4</v>
      </c>
      <c r="I1106">
        <v>11</v>
      </c>
      <c r="J1106">
        <v>14</v>
      </c>
      <c r="K1106">
        <f t="shared" si="19"/>
        <v>5</v>
      </c>
    </row>
    <row r="1107" spans="2:11" x14ac:dyDescent="0.35">
      <c r="B1107" t="s">
        <v>1103</v>
      </c>
      <c r="C1107">
        <v>25</v>
      </c>
      <c r="D1107">
        <v>3</v>
      </c>
      <c r="E1107">
        <v>1</v>
      </c>
      <c r="F1107">
        <v>0</v>
      </c>
      <c r="G1107">
        <v>3</v>
      </c>
      <c r="H1107">
        <v>1</v>
      </c>
      <c r="I1107">
        <v>8</v>
      </c>
      <c r="J1107">
        <v>10</v>
      </c>
      <c r="K1107">
        <f t="shared" si="19"/>
        <v>5</v>
      </c>
    </row>
    <row r="1108" spans="2:11" x14ac:dyDescent="0.35">
      <c r="B1108" t="s">
        <v>1104</v>
      </c>
      <c r="C1108">
        <v>6</v>
      </c>
      <c r="D1108">
        <v>2</v>
      </c>
      <c r="E1108">
        <v>0</v>
      </c>
      <c r="F1108">
        <v>0</v>
      </c>
      <c r="G1108">
        <v>0</v>
      </c>
      <c r="H1108">
        <v>0</v>
      </c>
      <c r="I1108">
        <v>2</v>
      </c>
      <c r="J1108">
        <v>3</v>
      </c>
      <c r="K1108">
        <f t="shared" si="19"/>
        <v>2</v>
      </c>
    </row>
    <row r="1109" spans="2:11" x14ac:dyDescent="0.35">
      <c r="B1109" t="s">
        <v>1105</v>
      </c>
      <c r="C1109">
        <v>38</v>
      </c>
      <c r="D1109">
        <v>5</v>
      </c>
      <c r="E1109">
        <v>0</v>
      </c>
      <c r="F1109">
        <v>0</v>
      </c>
      <c r="G1109">
        <v>3</v>
      </c>
      <c r="H1109">
        <v>3</v>
      </c>
      <c r="I1109">
        <v>18</v>
      </c>
      <c r="J1109">
        <v>10</v>
      </c>
      <c r="K1109">
        <f t="shared" si="19"/>
        <v>4</v>
      </c>
    </row>
    <row r="1110" spans="2:11" x14ac:dyDescent="0.35">
      <c r="B1110" t="s">
        <v>1106</v>
      </c>
      <c r="C1110">
        <v>14</v>
      </c>
      <c r="D1110">
        <v>1</v>
      </c>
      <c r="E1110">
        <v>0</v>
      </c>
      <c r="F1110">
        <v>0</v>
      </c>
      <c r="G1110">
        <v>0</v>
      </c>
      <c r="H1110">
        <v>2</v>
      </c>
      <c r="I1110">
        <v>2</v>
      </c>
      <c r="J1110">
        <v>10</v>
      </c>
      <c r="K1110">
        <f t="shared" si="19"/>
        <v>3</v>
      </c>
    </row>
    <row r="1111" spans="2:11" x14ac:dyDescent="0.35">
      <c r="B1111" t="s">
        <v>1107</v>
      </c>
      <c r="C1111">
        <v>12</v>
      </c>
      <c r="D1111">
        <v>0</v>
      </c>
      <c r="E1111">
        <v>0</v>
      </c>
      <c r="F1111">
        <v>0</v>
      </c>
      <c r="G1111">
        <v>0</v>
      </c>
      <c r="H1111">
        <v>1</v>
      </c>
      <c r="I1111">
        <v>9</v>
      </c>
      <c r="J1111">
        <v>3</v>
      </c>
      <c r="K1111">
        <f t="shared" si="19"/>
        <v>2</v>
      </c>
    </row>
    <row r="1112" spans="2:11" x14ac:dyDescent="0.35">
      <c r="B1112" t="s">
        <v>1108</v>
      </c>
      <c r="C1112">
        <v>36</v>
      </c>
      <c r="D1112">
        <v>1</v>
      </c>
      <c r="E1112">
        <v>0</v>
      </c>
      <c r="F1112">
        <v>0</v>
      </c>
      <c r="G1112">
        <v>12</v>
      </c>
      <c r="H1112">
        <v>3</v>
      </c>
      <c r="I1112">
        <v>14</v>
      </c>
      <c r="J1112">
        <v>7</v>
      </c>
      <c r="K1112">
        <f t="shared" si="19"/>
        <v>4</v>
      </c>
    </row>
    <row r="1113" spans="2:11" x14ac:dyDescent="0.35">
      <c r="B1113" t="s">
        <v>1109</v>
      </c>
      <c r="C1113">
        <v>27</v>
      </c>
      <c r="D1113">
        <v>2</v>
      </c>
      <c r="E1113">
        <v>0</v>
      </c>
      <c r="F1113">
        <v>0</v>
      </c>
      <c r="G1113">
        <v>5</v>
      </c>
      <c r="H1113">
        <v>4</v>
      </c>
      <c r="I1113">
        <v>11</v>
      </c>
      <c r="J1113">
        <v>6</v>
      </c>
      <c r="K1113">
        <f t="shared" si="19"/>
        <v>4</v>
      </c>
    </row>
    <row r="1114" spans="2:11" x14ac:dyDescent="0.35">
      <c r="B1114" t="s">
        <v>1110</v>
      </c>
      <c r="C1114">
        <v>101</v>
      </c>
      <c r="D1114">
        <v>2</v>
      </c>
      <c r="E1114">
        <v>0</v>
      </c>
      <c r="F1114">
        <v>0</v>
      </c>
      <c r="G1114">
        <v>9</v>
      </c>
      <c r="H1114">
        <v>22</v>
      </c>
      <c r="I1114">
        <v>36</v>
      </c>
      <c r="J1114">
        <v>33</v>
      </c>
      <c r="K1114">
        <f t="shared" si="19"/>
        <v>4</v>
      </c>
    </row>
    <row r="1115" spans="2:11" x14ac:dyDescent="0.35">
      <c r="B1115" t="s">
        <v>1111</v>
      </c>
      <c r="C1115">
        <v>11</v>
      </c>
      <c r="D1115">
        <v>1</v>
      </c>
      <c r="E1115">
        <v>0</v>
      </c>
      <c r="F1115">
        <v>0</v>
      </c>
      <c r="G1115">
        <v>7</v>
      </c>
      <c r="H1115">
        <v>0</v>
      </c>
      <c r="I1115">
        <v>2</v>
      </c>
      <c r="J1115">
        <v>2</v>
      </c>
      <c r="K1115">
        <f t="shared" si="19"/>
        <v>3</v>
      </c>
    </row>
    <row r="1116" spans="2:11" x14ac:dyDescent="0.35">
      <c r="B1116" t="s">
        <v>1112</v>
      </c>
      <c r="C1116">
        <v>10</v>
      </c>
      <c r="D1116">
        <v>1</v>
      </c>
      <c r="E1116">
        <v>0</v>
      </c>
      <c r="F1116">
        <v>1</v>
      </c>
      <c r="G1116">
        <v>0</v>
      </c>
      <c r="H1116">
        <v>2</v>
      </c>
      <c r="I1116">
        <v>3</v>
      </c>
      <c r="J1116">
        <v>4</v>
      </c>
      <c r="K1116">
        <f t="shared" si="19"/>
        <v>4</v>
      </c>
    </row>
    <row r="1117" spans="2:11" x14ac:dyDescent="0.35">
      <c r="B1117" t="s">
        <v>1113</v>
      </c>
      <c r="C1117">
        <v>12</v>
      </c>
      <c r="D1117">
        <v>0</v>
      </c>
      <c r="E1117">
        <v>0</v>
      </c>
      <c r="F1117">
        <v>0</v>
      </c>
      <c r="G1117">
        <v>0</v>
      </c>
      <c r="H1117">
        <v>1</v>
      </c>
      <c r="I1117">
        <v>6</v>
      </c>
      <c r="J1117">
        <v>6</v>
      </c>
      <c r="K1117">
        <f t="shared" si="19"/>
        <v>2</v>
      </c>
    </row>
    <row r="1118" spans="2:11" x14ac:dyDescent="0.35">
      <c r="B1118" t="s">
        <v>1114</v>
      </c>
      <c r="C1118">
        <v>8</v>
      </c>
      <c r="D1118">
        <v>1</v>
      </c>
      <c r="E1118">
        <v>0</v>
      </c>
      <c r="F1118">
        <v>0</v>
      </c>
      <c r="G1118">
        <v>0</v>
      </c>
      <c r="H1118">
        <v>0</v>
      </c>
      <c r="I1118">
        <v>2</v>
      </c>
      <c r="J1118">
        <v>6</v>
      </c>
      <c r="K1118">
        <f t="shared" si="19"/>
        <v>2</v>
      </c>
    </row>
    <row r="1119" spans="2:11" x14ac:dyDescent="0.35">
      <c r="B1119" t="s">
        <v>1115</v>
      </c>
      <c r="C1119">
        <v>12</v>
      </c>
      <c r="D1119">
        <v>2</v>
      </c>
      <c r="E1119">
        <v>0</v>
      </c>
      <c r="F1119">
        <v>0</v>
      </c>
      <c r="G1119">
        <v>0</v>
      </c>
      <c r="H1119">
        <v>3</v>
      </c>
      <c r="I1119">
        <v>3</v>
      </c>
      <c r="J1119">
        <v>5</v>
      </c>
      <c r="K1119">
        <f t="shared" si="19"/>
        <v>3</v>
      </c>
    </row>
    <row r="1120" spans="2:11" x14ac:dyDescent="0.35">
      <c r="B1120" t="s">
        <v>1116</v>
      </c>
      <c r="C1120">
        <v>43</v>
      </c>
      <c r="D1120">
        <v>8</v>
      </c>
      <c r="E1120">
        <v>1</v>
      </c>
      <c r="F1120">
        <v>0</v>
      </c>
      <c r="G1120">
        <v>0</v>
      </c>
      <c r="H1120">
        <v>9</v>
      </c>
      <c r="I1120">
        <v>3</v>
      </c>
      <c r="J1120">
        <v>23</v>
      </c>
      <c r="K1120">
        <f t="shared" si="19"/>
        <v>4</v>
      </c>
    </row>
    <row r="1121" spans="2:11" x14ac:dyDescent="0.35">
      <c r="B1121" t="s">
        <v>1117</v>
      </c>
      <c r="C1121">
        <v>16</v>
      </c>
      <c r="D1121">
        <v>2</v>
      </c>
      <c r="E1121">
        <v>1</v>
      </c>
      <c r="F1121">
        <v>0</v>
      </c>
      <c r="G1121">
        <v>0</v>
      </c>
      <c r="H1121">
        <v>1</v>
      </c>
      <c r="I1121">
        <v>13</v>
      </c>
      <c r="J1121">
        <v>0</v>
      </c>
      <c r="K1121">
        <f t="shared" si="19"/>
        <v>4</v>
      </c>
    </row>
    <row r="1122" spans="2:11" x14ac:dyDescent="0.35">
      <c r="B1122" t="s">
        <v>1118</v>
      </c>
      <c r="C1122">
        <v>23</v>
      </c>
      <c r="D1122">
        <v>1</v>
      </c>
      <c r="E1122">
        <v>0</v>
      </c>
      <c r="F1122">
        <v>0</v>
      </c>
      <c r="G1122">
        <v>1</v>
      </c>
      <c r="H1122">
        <v>6</v>
      </c>
      <c r="I1122">
        <v>8</v>
      </c>
      <c r="J1122">
        <v>8</v>
      </c>
      <c r="K1122">
        <f t="shared" si="19"/>
        <v>4</v>
      </c>
    </row>
    <row r="1123" spans="2:11" x14ac:dyDescent="0.35">
      <c r="B1123" t="s">
        <v>1119</v>
      </c>
      <c r="C1123">
        <v>26</v>
      </c>
      <c r="D1123">
        <v>4</v>
      </c>
      <c r="E1123">
        <v>0</v>
      </c>
      <c r="F1123">
        <v>3</v>
      </c>
      <c r="G1123">
        <v>0</v>
      </c>
      <c r="H1123">
        <v>0</v>
      </c>
      <c r="I1123">
        <v>4</v>
      </c>
      <c r="J1123">
        <v>16</v>
      </c>
      <c r="K1123">
        <f t="shared" si="19"/>
        <v>3</v>
      </c>
    </row>
    <row r="1124" spans="2:11" x14ac:dyDescent="0.35">
      <c r="B1124" t="s">
        <v>1120</v>
      </c>
      <c r="C1124">
        <v>16</v>
      </c>
      <c r="D1124">
        <v>2</v>
      </c>
      <c r="E1124">
        <v>0</v>
      </c>
      <c r="F1124">
        <v>0</v>
      </c>
      <c r="G1124">
        <v>1</v>
      </c>
      <c r="H1124">
        <v>1</v>
      </c>
      <c r="I1124">
        <v>11</v>
      </c>
      <c r="J1124">
        <v>2</v>
      </c>
      <c r="K1124">
        <f t="shared" si="19"/>
        <v>4</v>
      </c>
    </row>
    <row r="1125" spans="2:11" x14ac:dyDescent="0.35">
      <c r="B1125" t="s">
        <v>1121</v>
      </c>
      <c r="C1125">
        <v>23</v>
      </c>
      <c r="D1125">
        <v>0</v>
      </c>
      <c r="E1125">
        <v>0</v>
      </c>
      <c r="F1125">
        <v>1</v>
      </c>
      <c r="G1125">
        <v>0</v>
      </c>
      <c r="H1125">
        <v>0</v>
      </c>
      <c r="I1125">
        <v>9</v>
      </c>
      <c r="J1125">
        <v>14</v>
      </c>
      <c r="K1125">
        <f t="shared" si="19"/>
        <v>2</v>
      </c>
    </row>
    <row r="1126" spans="2:11" x14ac:dyDescent="0.35">
      <c r="B1126" t="s">
        <v>1122</v>
      </c>
      <c r="C1126">
        <v>18</v>
      </c>
      <c r="D1126">
        <v>0</v>
      </c>
      <c r="E1126">
        <v>0</v>
      </c>
      <c r="F1126">
        <v>1</v>
      </c>
      <c r="G1126">
        <v>0</v>
      </c>
      <c r="H1126">
        <v>0</v>
      </c>
      <c r="I1126">
        <v>0</v>
      </c>
      <c r="J1126">
        <v>18</v>
      </c>
      <c r="K1126">
        <f t="shared" si="19"/>
        <v>1</v>
      </c>
    </row>
    <row r="1127" spans="2:11" x14ac:dyDescent="0.35">
      <c r="B1127" t="s">
        <v>1123</v>
      </c>
      <c r="C1127">
        <v>24</v>
      </c>
      <c r="D1127">
        <v>5</v>
      </c>
      <c r="E1127">
        <v>0</v>
      </c>
      <c r="F1127">
        <v>0</v>
      </c>
      <c r="G1127">
        <v>3</v>
      </c>
      <c r="H1127">
        <v>3</v>
      </c>
      <c r="I1127">
        <v>4</v>
      </c>
      <c r="J1127">
        <v>10</v>
      </c>
      <c r="K1127">
        <f t="shared" si="19"/>
        <v>4</v>
      </c>
    </row>
    <row r="1128" spans="2:11" x14ac:dyDescent="0.35">
      <c r="B1128" t="s">
        <v>1124</v>
      </c>
      <c r="C1128">
        <v>17</v>
      </c>
      <c r="D1128">
        <v>1</v>
      </c>
      <c r="E1128">
        <v>0</v>
      </c>
      <c r="F1128">
        <v>1</v>
      </c>
      <c r="G1128">
        <v>0</v>
      </c>
      <c r="H1128">
        <v>3</v>
      </c>
      <c r="I1128">
        <v>4</v>
      </c>
      <c r="J1128">
        <v>9</v>
      </c>
      <c r="K1128">
        <f t="shared" si="19"/>
        <v>4</v>
      </c>
    </row>
    <row r="1129" spans="2:11" x14ac:dyDescent="0.35">
      <c r="B1129" t="s">
        <v>1125</v>
      </c>
      <c r="C1129">
        <v>41</v>
      </c>
      <c r="D1129">
        <v>1</v>
      </c>
      <c r="E1129">
        <v>0</v>
      </c>
      <c r="F1129">
        <v>0</v>
      </c>
      <c r="G1129">
        <v>2</v>
      </c>
      <c r="H1129">
        <v>6</v>
      </c>
      <c r="I1129">
        <v>11</v>
      </c>
      <c r="J1129">
        <v>22</v>
      </c>
      <c r="K1129">
        <f t="shared" si="19"/>
        <v>4</v>
      </c>
    </row>
    <row r="1130" spans="2:11" x14ac:dyDescent="0.35">
      <c r="B1130" t="s">
        <v>1126</v>
      </c>
      <c r="C1130">
        <v>15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6</v>
      </c>
      <c r="J1130">
        <v>7</v>
      </c>
      <c r="K1130">
        <f t="shared" si="19"/>
        <v>2</v>
      </c>
    </row>
    <row r="1131" spans="2:11" x14ac:dyDescent="0.35">
      <c r="B1131" t="s">
        <v>1127</v>
      </c>
      <c r="C1131">
        <v>28</v>
      </c>
      <c r="D1131">
        <v>3</v>
      </c>
      <c r="E1131">
        <v>2</v>
      </c>
      <c r="F1131">
        <v>1</v>
      </c>
      <c r="G1131">
        <v>0</v>
      </c>
      <c r="H1131">
        <v>1</v>
      </c>
      <c r="I1131">
        <v>5</v>
      </c>
      <c r="J1131">
        <v>17</v>
      </c>
      <c r="K1131">
        <f t="shared" si="19"/>
        <v>5</v>
      </c>
    </row>
    <row r="1132" spans="2:11" x14ac:dyDescent="0.35">
      <c r="B1132" t="s">
        <v>1128</v>
      </c>
      <c r="C1132">
        <v>7</v>
      </c>
      <c r="D1132">
        <v>1</v>
      </c>
      <c r="E1132">
        <v>1</v>
      </c>
      <c r="F1132">
        <v>0</v>
      </c>
      <c r="G1132">
        <v>3</v>
      </c>
      <c r="H1132">
        <v>0</v>
      </c>
      <c r="I1132">
        <v>1</v>
      </c>
      <c r="J1132">
        <v>2</v>
      </c>
      <c r="K1132">
        <f t="shared" si="19"/>
        <v>4</v>
      </c>
    </row>
    <row r="1133" spans="2:11" x14ac:dyDescent="0.35">
      <c r="B1133" t="s">
        <v>1129</v>
      </c>
      <c r="C1133">
        <v>15</v>
      </c>
      <c r="D1133">
        <v>0</v>
      </c>
      <c r="E1133">
        <v>0</v>
      </c>
      <c r="F1133">
        <v>0</v>
      </c>
      <c r="G1133">
        <v>0</v>
      </c>
      <c r="H1133">
        <v>1</v>
      </c>
      <c r="I1133">
        <v>11</v>
      </c>
      <c r="J1133">
        <v>4</v>
      </c>
      <c r="K1133">
        <f t="shared" si="19"/>
        <v>2</v>
      </c>
    </row>
    <row r="1134" spans="2:11" x14ac:dyDescent="0.35">
      <c r="B1134" t="s">
        <v>1130</v>
      </c>
      <c r="C1134">
        <v>40</v>
      </c>
      <c r="D1134">
        <v>2</v>
      </c>
      <c r="E1134">
        <v>1</v>
      </c>
      <c r="F1134">
        <v>0</v>
      </c>
      <c r="G1134">
        <v>4</v>
      </c>
      <c r="H1134">
        <v>3</v>
      </c>
      <c r="I1134">
        <v>24</v>
      </c>
      <c r="J1134">
        <v>7</v>
      </c>
      <c r="K1134">
        <f t="shared" si="19"/>
        <v>5</v>
      </c>
    </row>
    <row r="1135" spans="2:11" x14ac:dyDescent="0.35">
      <c r="B1135" t="s">
        <v>1131</v>
      </c>
      <c r="C1135">
        <v>43</v>
      </c>
      <c r="D1135">
        <v>2</v>
      </c>
      <c r="E1135">
        <v>0</v>
      </c>
      <c r="F1135">
        <v>0</v>
      </c>
      <c r="G1135">
        <v>0</v>
      </c>
      <c r="H1135">
        <v>2</v>
      </c>
      <c r="I1135">
        <v>18</v>
      </c>
      <c r="J1135">
        <v>22</v>
      </c>
      <c r="K1135">
        <f t="shared" si="19"/>
        <v>3</v>
      </c>
    </row>
    <row r="1136" spans="2:11" x14ac:dyDescent="0.35">
      <c r="B1136" t="s">
        <v>1132</v>
      </c>
      <c r="C1136">
        <v>18</v>
      </c>
      <c r="D1136">
        <v>2</v>
      </c>
      <c r="E1136">
        <v>1</v>
      </c>
      <c r="F1136">
        <v>2</v>
      </c>
      <c r="G1136">
        <v>1</v>
      </c>
      <c r="H1136">
        <v>0</v>
      </c>
      <c r="I1136">
        <v>2</v>
      </c>
      <c r="J1136">
        <v>11</v>
      </c>
      <c r="K1136">
        <f t="shared" si="19"/>
        <v>5</v>
      </c>
    </row>
    <row r="1137" spans="2:11" x14ac:dyDescent="0.35">
      <c r="B1137" t="s">
        <v>1133</v>
      </c>
      <c r="C1137">
        <v>22</v>
      </c>
      <c r="D1137">
        <v>2</v>
      </c>
      <c r="E1137">
        <v>0</v>
      </c>
      <c r="F1137">
        <v>0</v>
      </c>
      <c r="G1137">
        <v>5</v>
      </c>
      <c r="H1137">
        <v>0</v>
      </c>
      <c r="I1137">
        <v>12</v>
      </c>
      <c r="J1137">
        <v>4</v>
      </c>
      <c r="K1137">
        <f t="shared" si="19"/>
        <v>3</v>
      </c>
    </row>
    <row r="1138" spans="2:11" x14ac:dyDescent="0.35">
      <c r="B1138" t="s">
        <v>1134</v>
      </c>
      <c r="C1138">
        <v>5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2</v>
      </c>
      <c r="J1138">
        <v>4</v>
      </c>
      <c r="K1138">
        <f t="shared" si="19"/>
        <v>1</v>
      </c>
    </row>
    <row r="1139" spans="2:11" x14ac:dyDescent="0.35">
      <c r="B1139" t="s">
        <v>1135</v>
      </c>
      <c r="C1139">
        <v>3</v>
      </c>
      <c r="D1139">
        <v>1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3</v>
      </c>
      <c r="K1139">
        <f t="shared" si="19"/>
        <v>1</v>
      </c>
    </row>
    <row r="1140" spans="2:11" x14ac:dyDescent="0.35">
      <c r="B1140" t="s">
        <v>1136</v>
      </c>
      <c r="C1140">
        <v>47</v>
      </c>
      <c r="D1140">
        <v>1</v>
      </c>
      <c r="E1140">
        <v>0</v>
      </c>
      <c r="F1140">
        <v>0</v>
      </c>
      <c r="G1140">
        <v>3</v>
      </c>
      <c r="H1140">
        <v>4</v>
      </c>
      <c r="I1140">
        <v>12</v>
      </c>
      <c r="J1140">
        <v>28</v>
      </c>
      <c r="K1140">
        <f t="shared" si="19"/>
        <v>4</v>
      </c>
    </row>
    <row r="1141" spans="2:11" x14ac:dyDescent="0.35">
      <c r="B1141" t="s">
        <v>1137</v>
      </c>
      <c r="C1141">
        <v>19</v>
      </c>
      <c r="D1141">
        <v>1</v>
      </c>
      <c r="E1141">
        <v>0</v>
      </c>
      <c r="F1141">
        <v>1</v>
      </c>
      <c r="G1141">
        <v>0</v>
      </c>
      <c r="H1141">
        <v>1</v>
      </c>
      <c r="I1141">
        <v>8</v>
      </c>
      <c r="J1141">
        <v>9</v>
      </c>
      <c r="K1141">
        <f t="shared" si="19"/>
        <v>4</v>
      </c>
    </row>
    <row r="1142" spans="2:11" x14ac:dyDescent="0.35">
      <c r="B1142" t="s">
        <v>1138</v>
      </c>
      <c r="C1142">
        <v>11</v>
      </c>
      <c r="D1142">
        <v>0</v>
      </c>
      <c r="E1142">
        <v>0</v>
      </c>
      <c r="F1142">
        <v>0</v>
      </c>
      <c r="G1142">
        <v>7</v>
      </c>
      <c r="H1142">
        <v>1</v>
      </c>
      <c r="I1142">
        <v>2</v>
      </c>
      <c r="J1142">
        <v>2</v>
      </c>
      <c r="K1142">
        <f t="shared" si="19"/>
        <v>3</v>
      </c>
    </row>
    <row r="1143" spans="2:11" x14ac:dyDescent="0.35">
      <c r="B1143" t="s">
        <v>1139</v>
      </c>
      <c r="C1143">
        <v>27</v>
      </c>
      <c r="D1143">
        <v>0</v>
      </c>
      <c r="E1143">
        <v>0</v>
      </c>
      <c r="F1143">
        <v>0</v>
      </c>
      <c r="G1143">
        <v>10</v>
      </c>
      <c r="H1143">
        <v>2</v>
      </c>
      <c r="I1143">
        <v>4</v>
      </c>
      <c r="J1143">
        <v>12</v>
      </c>
      <c r="K1143">
        <f t="shared" si="19"/>
        <v>3</v>
      </c>
    </row>
    <row r="1144" spans="2:11" x14ac:dyDescent="0.35">
      <c r="B1144" t="s">
        <v>1140</v>
      </c>
      <c r="C1144">
        <v>7</v>
      </c>
      <c r="D1144">
        <v>0</v>
      </c>
      <c r="E1144">
        <v>0</v>
      </c>
      <c r="F1144">
        <v>1</v>
      </c>
      <c r="G1144">
        <v>0</v>
      </c>
      <c r="H1144">
        <v>0</v>
      </c>
      <c r="I1144">
        <v>1</v>
      </c>
      <c r="J1144">
        <v>6</v>
      </c>
      <c r="K1144">
        <f t="shared" si="19"/>
        <v>2</v>
      </c>
    </row>
    <row r="1145" spans="2:11" x14ac:dyDescent="0.35">
      <c r="B1145" t="s">
        <v>1141</v>
      </c>
      <c r="C1145">
        <v>43</v>
      </c>
      <c r="D1145">
        <v>4</v>
      </c>
      <c r="E1145">
        <v>2</v>
      </c>
      <c r="F1145">
        <v>3</v>
      </c>
      <c r="G1145">
        <v>0</v>
      </c>
      <c r="H1145">
        <v>0</v>
      </c>
      <c r="I1145">
        <v>7</v>
      </c>
      <c r="J1145">
        <v>28</v>
      </c>
      <c r="K1145">
        <f t="shared" si="19"/>
        <v>4</v>
      </c>
    </row>
    <row r="1146" spans="2:11" x14ac:dyDescent="0.35">
      <c r="B1146" t="s">
        <v>1142</v>
      </c>
      <c r="C1146">
        <v>12</v>
      </c>
      <c r="D1146">
        <v>0</v>
      </c>
      <c r="E1146">
        <v>0</v>
      </c>
      <c r="F1146">
        <v>0</v>
      </c>
      <c r="G1146">
        <v>1</v>
      </c>
      <c r="H1146">
        <v>0</v>
      </c>
      <c r="I1146">
        <v>7</v>
      </c>
      <c r="J1146">
        <v>5</v>
      </c>
      <c r="K1146">
        <f t="shared" si="19"/>
        <v>2</v>
      </c>
    </row>
    <row r="1147" spans="2:11" x14ac:dyDescent="0.35">
      <c r="B1147" t="s">
        <v>1143</v>
      </c>
      <c r="C1147">
        <v>23</v>
      </c>
      <c r="D1147">
        <v>1</v>
      </c>
      <c r="E1147">
        <v>0</v>
      </c>
      <c r="F1147">
        <v>0</v>
      </c>
      <c r="G1147">
        <v>1</v>
      </c>
      <c r="H1147">
        <v>0</v>
      </c>
      <c r="I1147">
        <v>4</v>
      </c>
      <c r="J1147">
        <v>18</v>
      </c>
      <c r="K1147">
        <f t="shared" si="19"/>
        <v>3</v>
      </c>
    </row>
    <row r="1148" spans="2:11" x14ac:dyDescent="0.35">
      <c r="B1148" t="s">
        <v>1144</v>
      </c>
      <c r="C1148">
        <v>181</v>
      </c>
      <c r="D1148">
        <v>4</v>
      </c>
      <c r="E1148">
        <v>0</v>
      </c>
      <c r="F1148">
        <v>0</v>
      </c>
      <c r="G1148">
        <v>5</v>
      </c>
      <c r="H1148">
        <v>50</v>
      </c>
      <c r="I1148">
        <v>50</v>
      </c>
      <c r="J1148">
        <v>73</v>
      </c>
      <c r="K1148">
        <f t="shared" si="19"/>
        <v>4</v>
      </c>
    </row>
    <row r="1149" spans="2:11" x14ac:dyDescent="0.35">
      <c r="B1149" t="s">
        <v>1145</v>
      </c>
      <c r="C1149">
        <v>80</v>
      </c>
      <c r="D1149">
        <v>0</v>
      </c>
      <c r="E1149">
        <v>1</v>
      </c>
      <c r="F1149">
        <v>0</v>
      </c>
      <c r="G1149">
        <v>12</v>
      </c>
      <c r="H1149">
        <v>17</v>
      </c>
      <c r="I1149">
        <v>7</v>
      </c>
      <c r="J1149">
        <v>44</v>
      </c>
      <c r="K1149">
        <f t="shared" si="19"/>
        <v>4</v>
      </c>
    </row>
    <row r="1150" spans="2:11" x14ac:dyDescent="0.35">
      <c r="B1150" t="s">
        <v>1146</v>
      </c>
      <c r="C1150">
        <v>16</v>
      </c>
      <c r="D1150">
        <v>2</v>
      </c>
      <c r="E1150">
        <v>0</v>
      </c>
      <c r="F1150">
        <v>1</v>
      </c>
      <c r="G1150">
        <v>0</v>
      </c>
      <c r="H1150">
        <v>3</v>
      </c>
      <c r="I1150">
        <v>7</v>
      </c>
      <c r="J1150">
        <v>4</v>
      </c>
      <c r="K1150">
        <f t="shared" si="19"/>
        <v>4</v>
      </c>
    </row>
    <row r="1151" spans="2:11" x14ac:dyDescent="0.35">
      <c r="B1151" t="s">
        <v>1147</v>
      </c>
      <c r="C1151">
        <v>52</v>
      </c>
      <c r="D1151">
        <v>5</v>
      </c>
      <c r="E1151">
        <v>0</v>
      </c>
      <c r="F1151">
        <v>0</v>
      </c>
      <c r="G1151">
        <v>9</v>
      </c>
      <c r="H1151">
        <v>0</v>
      </c>
      <c r="I1151">
        <v>19</v>
      </c>
      <c r="J1151">
        <v>20</v>
      </c>
      <c r="K1151">
        <f t="shared" si="19"/>
        <v>3</v>
      </c>
    </row>
    <row r="1152" spans="2:11" x14ac:dyDescent="0.35">
      <c r="B1152" t="s">
        <v>1148</v>
      </c>
      <c r="C1152">
        <v>11</v>
      </c>
      <c r="D1152">
        <v>1</v>
      </c>
      <c r="E1152">
        <v>0</v>
      </c>
      <c r="F1152">
        <v>0</v>
      </c>
      <c r="G1152">
        <v>0</v>
      </c>
      <c r="H1152">
        <v>3</v>
      </c>
      <c r="I1152">
        <v>4</v>
      </c>
      <c r="J1152">
        <v>4</v>
      </c>
      <c r="K1152">
        <f t="shared" si="19"/>
        <v>3</v>
      </c>
    </row>
    <row r="1153" spans="2:11" x14ac:dyDescent="0.35">
      <c r="B1153" t="s">
        <v>1149</v>
      </c>
      <c r="C1153">
        <v>8</v>
      </c>
      <c r="D1153">
        <v>1</v>
      </c>
      <c r="E1153">
        <v>0</v>
      </c>
      <c r="F1153">
        <v>0</v>
      </c>
      <c r="G1153">
        <v>0</v>
      </c>
      <c r="H1153">
        <v>0</v>
      </c>
      <c r="I1153">
        <v>4</v>
      </c>
      <c r="J1153">
        <v>4</v>
      </c>
      <c r="K1153">
        <f t="shared" si="19"/>
        <v>2</v>
      </c>
    </row>
    <row r="1154" spans="2:11" x14ac:dyDescent="0.35">
      <c r="B1154" t="s">
        <v>1150</v>
      </c>
      <c r="C1154">
        <v>8</v>
      </c>
      <c r="D1154">
        <v>1</v>
      </c>
      <c r="E1154">
        <v>0</v>
      </c>
      <c r="F1154">
        <v>0</v>
      </c>
      <c r="G1154">
        <v>0</v>
      </c>
      <c r="H1154">
        <v>1</v>
      </c>
      <c r="I1154">
        <v>2</v>
      </c>
      <c r="J1154">
        <v>5</v>
      </c>
      <c r="K1154">
        <f t="shared" si="19"/>
        <v>3</v>
      </c>
    </row>
    <row r="1155" spans="2:11" x14ac:dyDescent="0.35">
      <c r="B1155" t="s">
        <v>1151</v>
      </c>
      <c r="C1155">
        <v>43</v>
      </c>
      <c r="D1155">
        <v>6</v>
      </c>
      <c r="E1155">
        <v>3</v>
      </c>
      <c r="F1155">
        <v>0</v>
      </c>
      <c r="G1155">
        <v>1</v>
      </c>
      <c r="H1155">
        <v>2</v>
      </c>
      <c r="I1155">
        <v>10</v>
      </c>
      <c r="J1155">
        <v>22</v>
      </c>
      <c r="K1155">
        <f t="shared" si="19"/>
        <v>5</v>
      </c>
    </row>
    <row r="1156" spans="2:11" x14ac:dyDescent="0.35">
      <c r="B1156" t="s">
        <v>1152</v>
      </c>
      <c r="C1156">
        <v>43</v>
      </c>
      <c r="D1156">
        <v>2</v>
      </c>
      <c r="E1156">
        <v>1</v>
      </c>
      <c r="F1156">
        <v>0</v>
      </c>
      <c r="G1156">
        <v>6</v>
      </c>
      <c r="H1156">
        <v>5</v>
      </c>
      <c r="I1156">
        <v>14</v>
      </c>
      <c r="J1156">
        <v>16</v>
      </c>
      <c r="K1156">
        <f t="shared" si="19"/>
        <v>5</v>
      </c>
    </row>
    <row r="1157" spans="2:11" x14ac:dyDescent="0.35">
      <c r="B1157" t="s">
        <v>1153</v>
      </c>
      <c r="C1157">
        <v>89</v>
      </c>
      <c r="D1157">
        <v>6</v>
      </c>
      <c r="E1157">
        <v>1</v>
      </c>
      <c r="F1157">
        <v>0</v>
      </c>
      <c r="G1157">
        <v>2</v>
      </c>
      <c r="H1157">
        <v>3</v>
      </c>
      <c r="I1157">
        <v>28</v>
      </c>
      <c r="J1157">
        <v>50</v>
      </c>
      <c r="K1157">
        <f t="shared" si="19"/>
        <v>5</v>
      </c>
    </row>
    <row r="1158" spans="2:11" x14ac:dyDescent="0.35">
      <c r="B1158" t="s">
        <v>1154</v>
      </c>
      <c r="C1158">
        <v>29</v>
      </c>
      <c r="D1158">
        <v>1</v>
      </c>
      <c r="E1158">
        <v>0</v>
      </c>
      <c r="F1158">
        <v>0</v>
      </c>
      <c r="G1158">
        <v>0</v>
      </c>
      <c r="H1158">
        <v>4</v>
      </c>
      <c r="I1158">
        <v>15</v>
      </c>
      <c r="J1158">
        <v>10</v>
      </c>
      <c r="K1158">
        <f t="shared" si="19"/>
        <v>3</v>
      </c>
    </row>
    <row r="1159" spans="2:11" x14ac:dyDescent="0.35">
      <c r="B1159" t="s">
        <v>1155</v>
      </c>
      <c r="C1159">
        <v>59</v>
      </c>
      <c r="D1159">
        <v>6</v>
      </c>
      <c r="E1159">
        <v>0</v>
      </c>
      <c r="F1159">
        <v>0</v>
      </c>
      <c r="G1159">
        <v>4</v>
      </c>
      <c r="H1159">
        <v>5</v>
      </c>
      <c r="I1159">
        <v>23</v>
      </c>
      <c r="J1159">
        <v>22</v>
      </c>
      <c r="K1159">
        <f t="shared" si="19"/>
        <v>4</v>
      </c>
    </row>
    <row r="1160" spans="2:11" x14ac:dyDescent="0.35">
      <c r="B1160" t="s">
        <v>1156</v>
      </c>
      <c r="C1160">
        <v>29</v>
      </c>
      <c r="D1160">
        <v>2</v>
      </c>
      <c r="E1160">
        <v>0</v>
      </c>
      <c r="F1160">
        <v>0</v>
      </c>
      <c r="G1160">
        <v>0</v>
      </c>
      <c r="H1160">
        <v>2</v>
      </c>
      <c r="I1160">
        <v>13</v>
      </c>
      <c r="J1160">
        <v>13</v>
      </c>
      <c r="K1160">
        <f t="shared" si="19"/>
        <v>3</v>
      </c>
    </row>
    <row r="1161" spans="2:11" x14ac:dyDescent="0.35">
      <c r="B1161" t="s">
        <v>1157</v>
      </c>
      <c r="C1161">
        <v>31</v>
      </c>
      <c r="D1161">
        <v>2</v>
      </c>
      <c r="E1161">
        <v>0</v>
      </c>
      <c r="F1161">
        <v>1</v>
      </c>
      <c r="G1161">
        <v>0</v>
      </c>
      <c r="H1161">
        <v>5</v>
      </c>
      <c r="I1161">
        <v>9</v>
      </c>
      <c r="J1161">
        <v>15</v>
      </c>
      <c r="K1161">
        <f t="shared" si="19"/>
        <v>4</v>
      </c>
    </row>
    <row r="1162" spans="2:11" x14ac:dyDescent="0.35">
      <c r="B1162" t="s">
        <v>1158</v>
      </c>
      <c r="C1162">
        <v>31</v>
      </c>
      <c r="D1162">
        <v>3</v>
      </c>
      <c r="E1162">
        <v>0</v>
      </c>
      <c r="F1162">
        <v>0</v>
      </c>
      <c r="G1162">
        <v>2</v>
      </c>
      <c r="H1162">
        <v>3</v>
      </c>
      <c r="I1162">
        <v>9</v>
      </c>
      <c r="J1162">
        <v>15</v>
      </c>
      <c r="K1162">
        <f t="shared" si="19"/>
        <v>4</v>
      </c>
    </row>
    <row r="1163" spans="2:11" x14ac:dyDescent="0.35">
      <c r="B1163" t="s">
        <v>1159</v>
      </c>
      <c r="C1163">
        <v>42</v>
      </c>
      <c r="D1163">
        <v>3</v>
      </c>
      <c r="E1163">
        <v>0</v>
      </c>
      <c r="F1163">
        <v>0</v>
      </c>
      <c r="G1163">
        <v>5</v>
      </c>
      <c r="H1163">
        <v>10</v>
      </c>
      <c r="I1163">
        <v>7</v>
      </c>
      <c r="J1163">
        <v>18</v>
      </c>
      <c r="K1163">
        <f t="shared" si="19"/>
        <v>4</v>
      </c>
    </row>
    <row r="1164" spans="2:11" x14ac:dyDescent="0.35">
      <c r="B1164" t="s">
        <v>1160</v>
      </c>
      <c r="C1164">
        <v>15</v>
      </c>
      <c r="D1164">
        <v>1</v>
      </c>
      <c r="E1164">
        <v>0</v>
      </c>
      <c r="F1164">
        <v>0</v>
      </c>
      <c r="G1164">
        <v>0</v>
      </c>
      <c r="H1164">
        <v>2</v>
      </c>
      <c r="I1164">
        <v>5</v>
      </c>
      <c r="J1164">
        <v>8</v>
      </c>
      <c r="K1164">
        <f t="shared" ref="K1164:K1227" si="20">COUNTIF(D1164:I1164, "&gt;0")</f>
        <v>3</v>
      </c>
    </row>
    <row r="1165" spans="2:11" x14ac:dyDescent="0.35">
      <c r="B1165" t="s">
        <v>1161</v>
      </c>
      <c r="C1165">
        <v>56</v>
      </c>
      <c r="D1165">
        <v>3</v>
      </c>
      <c r="E1165">
        <v>0</v>
      </c>
      <c r="F1165">
        <v>0</v>
      </c>
      <c r="G1165">
        <v>16</v>
      </c>
      <c r="H1165">
        <v>5</v>
      </c>
      <c r="I1165">
        <v>21</v>
      </c>
      <c r="J1165">
        <v>12</v>
      </c>
      <c r="K1165">
        <f t="shared" si="20"/>
        <v>4</v>
      </c>
    </row>
    <row r="1166" spans="2:11" x14ac:dyDescent="0.35">
      <c r="B1166" t="s">
        <v>1162</v>
      </c>
      <c r="C1166">
        <v>61</v>
      </c>
      <c r="D1166">
        <v>2</v>
      </c>
      <c r="E1166">
        <v>1</v>
      </c>
      <c r="F1166">
        <v>0</v>
      </c>
      <c r="G1166">
        <v>8</v>
      </c>
      <c r="H1166">
        <v>11</v>
      </c>
      <c r="I1166">
        <v>6</v>
      </c>
      <c r="J1166">
        <v>34</v>
      </c>
      <c r="K1166">
        <f t="shared" si="20"/>
        <v>5</v>
      </c>
    </row>
    <row r="1167" spans="2:11" x14ac:dyDescent="0.35">
      <c r="B1167" t="s">
        <v>1163</v>
      </c>
      <c r="C1167">
        <v>26</v>
      </c>
      <c r="D1167">
        <v>7</v>
      </c>
      <c r="E1167">
        <v>1</v>
      </c>
      <c r="F1167">
        <v>0</v>
      </c>
      <c r="G1167">
        <v>0</v>
      </c>
      <c r="H1167">
        <v>3</v>
      </c>
      <c r="I1167">
        <v>8</v>
      </c>
      <c r="J1167">
        <v>8</v>
      </c>
      <c r="K1167">
        <f t="shared" si="20"/>
        <v>4</v>
      </c>
    </row>
    <row r="1168" spans="2:11" x14ac:dyDescent="0.35">
      <c r="B1168" t="s">
        <v>1164</v>
      </c>
      <c r="C1168">
        <v>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9</v>
      </c>
      <c r="K1168">
        <f t="shared" si="20"/>
        <v>0</v>
      </c>
    </row>
    <row r="1169" spans="2:11" x14ac:dyDescent="0.35">
      <c r="B1169" t="s">
        <v>1165</v>
      </c>
      <c r="C1169">
        <v>78</v>
      </c>
      <c r="D1169">
        <v>1</v>
      </c>
      <c r="E1169">
        <v>1</v>
      </c>
      <c r="F1169">
        <v>0</v>
      </c>
      <c r="G1169">
        <v>1</v>
      </c>
      <c r="H1169">
        <v>9</v>
      </c>
      <c r="I1169">
        <v>40</v>
      </c>
      <c r="J1169">
        <v>27</v>
      </c>
      <c r="K1169">
        <f t="shared" si="20"/>
        <v>5</v>
      </c>
    </row>
    <row r="1170" spans="2:11" x14ac:dyDescent="0.35">
      <c r="B1170" t="s">
        <v>1166</v>
      </c>
      <c r="C1170">
        <v>11</v>
      </c>
      <c r="D1170">
        <v>2</v>
      </c>
      <c r="E1170">
        <v>0</v>
      </c>
      <c r="F1170">
        <v>0</v>
      </c>
      <c r="G1170">
        <v>0</v>
      </c>
      <c r="H1170">
        <v>0</v>
      </c>
      <c r="I1170">
        <v>7</v>
      </c>
      <c r="J1170">
        <v>3</v>
      </c>
      <c r="K1170">
        <f t="shared" si="20"/>
        <v>2</v>
      </c>
    </row>
    <row r="1171" spans="2:11" x14ac:dyDescent="0.35">
      <c r="B1171" t="s">
        <v>1167</v>
      </c>
      <c r="C1171">
        <v>19</v>
      </c>
      <c r="D1171">
        <v>1</v>
      </c>
      <c r="E1171">
        <v>0</v>
      </c>
      <c r="F1171">
        <v>0</v>
      </c>
      <c r="G1171">
        <v>5</v>
      </c>
      <c r="H1171">
        <v>1</v>
      </c>
      <c r="I1171">
        <v>7</v>
      </c>
      <c r="J1171">
        <v>6</v>
      </c>
      <c r="K1171">
        <f t="shared" si="20"/>
        <v>4</v>
      </c>
    </row>
    <row r="1172" spans="2:11" x14ac:dyDescent="0.35">
      <c r="B1172" t="s">
        <v>1168</v>
      </c>
      <c r="C1172">
        <v>20</v>
      </c>
      <c r="D1172">
        <v>0</v>
      </c>
      <c r="E1172">
        <v>0</v>
      </c>
      <c r="F1172">
        <v>0</v>
      </c>
      <c r="G1172">
        <v>0</v>
      </c>
      <c r="H1172">
        <v>2</v>
      </c>
      <c r="I1172">
        <v>9</v>
      </c>
      <c r="J1172">
        <v>10</v>
      </c>
      <c r="K1172">
        <f t="shared" si="20"/>
        <v>2</v>
      </c>
    </row>
    <row r="1173" spans="2:11" x14ac:dyDescent="0.35">
      <c r="B1173" t="s">
        <v>1169</v>
      </c>
      <c r="C1173">
        <v>34</v>
      </c>
      <c r="D1173">
        <v>1</v>
      </c>
      <c r="E1173">
        <v>0</v>
      </c>
      <c r="F1173">
        <v>1</v>
      </c>
      <c r="G1173">
        <v>1</v>
      </c>
      <c r="H1173">
        <v>1</v>
      </c>
      <c r="I1173">
        <v>11</v>
      </c>
      <c r="J1173">
        <v>20</v>
      </c>
      <c r="K1173">
        <f t="shared" si="20"/>
        <v>5</v>
      </c>
    </row>
    <row r="1174" spans="2:11" x14ac:dyDescent="0.35">
      <c r="B1174" t="s">
        <v>1170</v>
      </c>
      <c r="C1174">
        <v>4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2</v>
      </c>
      <c r="J1174">
        <v>3</v>
      </c>
      <c r="K1174">
        <f t="shared" si="20"/>
        <v>1</v>
      </c>
    </row>
    <row r="1175" spans="2:11" x14ac:dyDescent="0.35">
      <c r="B1175" t="s">
        <v>1171</v>
      </c>
      <c r="C1175">
        <v>15</v>
      </c>
      <c r="D1175">
        <v>0</v>
      </c>
      <c r="E1175">
        <v>0</v>
      </c>
      <c r="F1175">
        <v>0</v>
      </c>
      <c r="G1175">
        <v>0</v>
      </c>
      <c r="H1175">
        <v>6</v>
      </c>
      <c r="I1175">
        <v>4</v>
      </c>
      <c r="J1175">
        <v>6</v>
      </c>
      <c r="K1175">
        <f t="shared" si="20"/>
        <v>2</v>
      </c>
    </row>
    <row r="1176" spans="2:11" x14ac:dyDescent="0.35">
      <c r="B1176" t="s">
        <v>1172</v>
      </c>
      <c r="C1176">
        <v>15</v>
      </c>
      <c r="D1176">
        <v>1</v>
      </c>
      <c r="E1176">
        <v>0</v>
      </c>
      <c r="F1176">
        <v>0</v>
      </c>
      <c r="G1176">
        <v>0</v>
      </c>
      <c r="H1176">
        <v>1</v>
      </c>
      <c r="I1176">
        <v>2</v>
      </c>
      <c r="J1176">
        <v>12</v>
      </c>
      <c r="K1176">
        <f t="shared" si="20"/>
        <v>3</v>
      </c>
    </row>
    <row r="1177" spans="2:11" x14ac:dyDescent="0.35">
      <c r="B1177" t="s">
        <v>1173</v>
      </c>
      <c r="C1177">
        <v>3</v>
      </c>
      <c r="D1177">
        <v>1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3</v>
      </c>
      <c r="K1177">
        <f t="shared" si="20"/>
        <v>1</v>
      </c>
    </row>
    <row r="1178" spans="2:11" x14ac:dyDescent="0.35">
      <c r="B1178" t="s">
        <v>1174</v>
      </c>
      <c r="C1178">
        <v>26</v>
      </c>
      <c r="D1178">
        <v>1</v>
      </c>
      <c r="E1178">
        <v>1</v>
      </c>
      <c r="F1178">
        <v>0</v>
      </c>
      <c r="G1178">
        <v>5</v>
      </c>
      <c r="H1178">
        <v>3</v>
      </c>
      <c r="I1178">
        <v>5</v>
      </c>
      <c r="J1178">
        <v>12</v>
      </c>
      <c r="K1178">
        <f t="shared" si="20"/>
        <v>5</v>
      </c>
    </row>
    <row r="1179" spans="2:11" x14ac:dyDescent="0.35">
      <c r="B1179" t="s">
        <v>1175</v>
      </c>
      <c r="C1179">
        <v>38</v>
      </c>
      <c r="D1179">
        <v>3</v>
      </c>
      <c r="E1179">
        <v>0</v>
      </c>
      <c r="F1179">
        <v>0</v>
      </c>
      <c r="G1179">
        <v>1</v>
      </c>
      <c r="H1179">
        <v>4</v>
      </c>
      <c r="I1179">
        <v>16</v>
      </c>
      <c r="J1179">
        <v>15</v>
      </c>
      <c r="K1179">
        <f t="shared" si="20"/>
        <v>4</v>
      </c>
    </row>
    <row r="1180" spans="2:11" x14ac:dyDescent="0.35">
      <c r="B1180" t="s">
        <v>1176</v>
      </c>
      <c r="C1180">
        <v>29</v>
      </c>
      <c r="D1180">
        <v>3</v>
      </c>
      <c r="E1180">
        <v>0</v>
      </c>
      <c r="F1180">
        <v>1</v>
      </c>
      <c r="G1180">
        <v>0</v>
      </c>
      <c r="H1180">
        <v>1</v>
      </c>
      <c r="I1180">
        <v>11</v>
      </c>
      <c r="J1180">
        <v>14</v>
      </c>
      <c r="K1180">
        <f t="shared" si="20"/>
        <v>4</v>
      </c>
    </row>
    <row r="1181" spans="2:11" x14ac:dyDescent="0.35">
      <c r="B1181" t="s">
        <v>1177</v>
      </c>
      <c r="C1181">
        <v>52</v>
      </c>
      <c r="D1181">
        <v>1</v>
      </c>
      <c r="E1181">
        <v>0</v>
      </c>
      <c r="F1181">
        <v>0</v>
      </c>
      <c r="G1181">
        <v>1</v>
      </c>
      <c r="H1181">
        <v>1</v>
      </c>
      <c r="I1181">
        <v>33</v>
      </c>
      <c r="J1181">
        <v>17</v>
      </c>
      <c r="K1181">
        <f t="shared" si="20"/>
        <v>4</v>
      </c>
    </row>
    <row r="1182" spans="2:11" x14ac:dyDescent="0.35">
      <c r="B1182" t="s">
        <v>1178</v>
      </c>
      <c r="C1182">
        <v>95</v>
      </c>
      <c r="D1182">
        <v>5</v>
      </c>
      <c r="E1182">
        <v>3</v>
      </c>
      <c r="F1182">
        <v>0</v>
      </c>
      <c r="G1182">
        <v>6</v>
      </c>
      <c r="H1182">
        <v>16</v>
      </c>
      <c r="I1182">
        <v>9</v>
      </c>
      <c r="J1182">
        <v>57</v>
      </c>
      <c r="K1182">
        <f t="shared" si="20"/>
        <v>5</v>
      </c>
    </row>
    <row r="1183" spans="2:11" x14ac:dyDescent="0.35">
      <c r="B1183" t="s">
        <v>1179</v>
      </c>
      <c r="C1183">
        <v>31</v>
      </c>
      <c r="D1183">
        <v>2</v>
      </c>
      <c r="E1183">
        <v>1</v>
      </c>
      <c r="F1183">
        <v>0</v>
      </c>
      <c r="G1183">
        <v>0</v>
      </c>
      <c r="H1183">
        <v>5</v>
      </c>
      <c r="I1183">
        <v>16</v>
      </c>
      <c r="J1183">
        <v>8</v>
      </c>
      <c r="K1183">
        <f t="shared" si="20"/>
        <v>4</v>
      </c>
    </row>
    <row r="1184" spans="2:11" x14ac:dyDescent="0.35">
      <c r="B1184" t="s">
        <v>1180</v>
      </c>
      <c r="C1184">
        <v>13</v>
      </c>
      <c r="D1184">
        <v>1</v>
      </c>
      <c r="E1184">
        <v>0</v>
      </c>
      <c r="F1184">
        <v>0</v>
      </c>
      <c r="G1184">
        <v>3</v>
      </c>
      <c r="H1184">
        <v>1</v>
      </c>
      <c r="I1184">
        <v>4</v>
      </c>
      <c r="J1184">
        <v>5</v>
      </c>
      <c r="K1184">
        <f t="shared" si="20"/>
        <v>4</v>
      </c>
    </row>
    <row r="1185" spans="2:11" x14ac:dyDescent="0.35">
      <c r="B1185" t="s">
        <v>1181</v>
      </c>
      <c r="C1185">
        <v>40</v>
      </c>
      <c r="D1185">
        <v>6</v>
      </c>
      <c r="E1185">
        <v>1</v>
      </c>
      <c r="F1185">
        <v>1</v>
      </c>
      <c r="G1185">
        <v>1</v>
      </c>
      <c r="H1185">
        <v>2</v>
      </c>
      <c r="I1185">
        <v>15</v>
      </c>
      <c r="J1185">
        <v>15</v>
      </c>
      <c r="K1185">
        <f t="shared" si="20"/>
        <v>6</v>
      </c>
    </row>
    <row r="1186" spans="2:11" x14ac:dyDescent="0.35">
      <c r="B1186" t="s">
        <v>1182</v>
      </c>
      <c r="C1186">
        <v>9</v>
      </c>
      <c r="D1186">
        <v>1</v>
      </c>
      <c r="E1186">
        <v>0</v>
      </c>
      <c r="F1186">
        <v>0</v>
      </c>
      <c r="G1186">
        <v>2</v>
      </c>
      <c r="H1186">
        <v>1</v>
      </c>
      <c r="I1186">
        <v>2</v>
      </c>
      <c r="J1186">
        <v>4</v>
      </c>
      <c r="K1186">
        <f t="shared" si="20"/>
        <v>4</v>
      </c>
    </row>
    <row r="1187" spans="2:11" x14ac:dyDescent="0.35">
      <c r="B1187" t="s">
        <v>1183</v>
      </c>
      <c r="C1187">
        <v>114</v>
      </c>
      <c r="D1187">
        <v>4</v>
      </c>
      <c r="E1187">
        <v>2</v>
      </c>
      <c r="F1187">
        <v>1</v>
      </c>
      <c r="G1187">
        <v>1</v>
      </c>
      <c r="H1187">
        <v>4</v>
      </c>
      <c r="I1187">
        <v>15</v>
      </c>
      <c r="J1187">
        <v>88</v>
      </c>
      <c r="K1187">
        <f t="shared" si="20"/>
        <v>6</v>
      </c>
    </row>
    <row r="1188" spans="2:11" x14ac:dyDescent="0.35">
      <c r="B1188" t="s">
        <v>1184</v>
      </c>
      <c r="C1188">
        <v>7</v>
      </c>
      <c r="D1188">
        <v>0</v>
      </c>
      <c r="E1188">
        <v>0</v>
      </c>
      <c r="F1188">
        <v>0</v>
      </c>
      <c r="G1188">
        <v>1</v>
      </c>
      <c r="H1188">
        <v>3</v>
      </c>
      <c r="I1188">
        <v>2</v>
      </c>
      <c r="J1188">
        <v>2</v>
      </c>
      <c r="K1188">
        <f t="shared" si="20"/>
        <v>3</v>
      </c>
    </row>
    <row r="1189" spans="2:11" x14ac:dyDescent="0.35">
      <c r="B1189" t="s">
        <v>1185</v>
      </c>
      <c r="C1189">
        <v>9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3</v>
      </c>
      <c r="J1189">
        <v>7</v>
      </c>
      <c r="K1189">
        <f t="shared" si="20"/>
        <v>1</v>
      </c>
    </row>
    <row r="1190" spans="2:11" x14ac:dyDescent="0.35">
      <c r="B1190" t="s">
        <v>1186</v>
      </c>
      <c r="C1190">
        <v>88</v>
      </c>
      <c r="D1190">
        <v>0</v>
      </c>
      <c r="E1190">
        <v>0</v>
      </c>
      <c r="F1190">
        <v>0</v>
      </c>
      <c r="G1190">
        <v>3</v>
      </c>
      <c r="H1190">
        <v>34</v>
      </c>
      <c r="I1190">
        <v>11</v>
      </c>
      <c r="J1190">
        <v>41</v>
      </c>
      <c r="K1190">
        <f t="shared" si="20"/>
        <v>3</v>
      </c>
    </row>
    <row r="1191" spans="2:11" x14ac:dyDescent="0.35">
      <c r="B1191" t="s">
        <v>1187</v>
      </c>
      <c r="C1191">
        <v>66</v>
      </c>
      <c r="D1191">
        <v>4</v>
      </c>
      <c r="E1191">
        <v>0</v>
      </c>
      <c r="F1191">
        <v>0</v>
      </c>
      <c r="G1191">
        <v>8</v>
      </c>
      <c r="H1191">
        <v>2</v>
      </c>
      <c r="I1191">
        <v>49</v>
      </c>
      <c r="J1191">
        <v>4</v>
      </c>
      <c r="K1191">
        <f t="shared" si="20"/>
        <v>4</v>
      </c>
    </row>
    <row r="1192" spans="2:11" x14ac:dyDescent="0.35">
      <c r="B1192" t="s">
        <v>1188</v>
      </c>
      <c r="C1192">
        <v>10</v>
      </c>
      <c r="D1192">
        <v>0</v>
      </c>
      <c r="E1192">
        <v>0</v>
      </c>
      <c r="F1192">
        <v>0</v>
      </c>
      <c r="G1192">
        <v>1</v>
      </c>
      <c r="H1192">
        <v>0</v>
      </c>
      <c r="I1192">
        <v>6</v>
      </c>
      <c r="J1192">
        <v>4</v>
      </c>
      <c r="K1192">
        <f t="shared" si="20"/>
        <v>2</v>
      </c>
    </row>
    <row r="1193" spans="2:11" x14ac:dyDescent="0.35">
      <c r="B1193" t="s">
        <v>1189</v>
      </c>
      <c r="C1193">
        <v>105</v>
      </c>
      <c r="D1193">
        <v>1</v>
      </c>
      <c r="E1193">
        <v>0</v>
      </c>
      <c r="F1193">
        <v>0</v>
      </c>
      <c r="G1193">
        <v>2</v>
      </c>
      <c r="H1193">
        <v>4</v>
      </c>
      <c r="I1193">
        <v>63</v>
      </c>
      <c r="J1193">
        <v>36</v>
      </c>
      <c r="K1193">
        <f t="shared" si="20"/>
        <v>4</v>
      </c>
    </row>
    <row r="1194" spans="2:11" x14ac:dyDescent="0.35">
      <c r="B1194" t="s">
        <v>1190</v>
      </c>
      <c r="C1194">
        <v>17</v>
      </c>
      <c r="D1194">
        <v>0</v>
      </c>
      <c r="E1194">
        <v>0</v>
      </c>
      <c r="F1194">
        <v>0</v>
      </c>
      <c r="G1194">
        <v>6</v>
      </c>
      <c r="H1194">
        <v>0</v>
      </c>
      <c r="I1194">
        <v>7</v>
      </c>
      <c r="J1194">
        <v>5</v>
      </c>
      <c r="K1194">
        <f t="shared" si="20"/>
        <v>2</v>
      </c>
    </row>
    <row r="1195" spans="2:11" x14ac:dyDescent="0.35">
      <c r="B1195" t="s">
        <v>1191</v>
      </c>
      <c r="C1195">
        <v>54</v>
      </c>
      <c r="D1195">
        <v>1</v>
      </c>
      <c r="E1195">
        <v>0</v>
      </c>
      <c r="F1195">
        <v>0</v>
      </c>
      <c r="G1195">
        <v>14</v>
      </c>
      <c r="H1195">
        <v>8</v>
      </c>
      <c r="I1195">
        <v>12</v>
      </c>
      <c r="J1195">
        <v>20</v>
      </c>
      <c r="K1195">
        <f t="shared" si="20"/>
        <v>4</v>
      </c>
    </row>
    <row r="1196" spans="2:11" x14ac:dyDescent="0.35">
      <c r="B1196" t="s">
        <v>1192</v>
      </c>
      <c r="C1196">
        <v>14</v>
      </c>
      <c r="D1196">
        <v>1</v>
      </c>
      <c r="E1196">
        <v>1</v>
      </c>
      <c r="F1196">
        <v>0</v>
      </c>
      <c r="G1196">
        <v>0</v>
      </c>
      <c r="H1196">
        <v>1</v>
      </c>
      <c r="I1196">
        <v>5</v>
      </c>
      <c r="J1196">
        <v>7</v>
      </c>
      <c r="K1196">
        <f t="shared" si="20"/>
        <v>4</v>
      </c>
    </row>
    <row r="1197" spans="2:11" x14ac:dyDescent="0.35">
      <c r="B1197" t="s">
        <v>1193</v>
      </c>
      <c r="C1197">
        <v>3</v>
      </c>
      <c r="D1197">
        <v>0</v>
      </c>
      <c r="E1197">
        <v>0</v>
      </c>
      <c r="F1197">
        <v>1</v>
      </c>
      <c r="G1197">
        <v>0</v>
      </c>
      <c r="H1197">
        <v>0</v>
      </c>
      <c r="I1197">
        <v>2</v>
      </c>
      <c r="J1197">
        <v>1</v>
      </c>
      <c r="K1197">
        <f t="shared" si="20"/>
        <v>2</v>
      </c>
    </row>
    <row r="1198" spans="2:11" x14ac:dyDescent="0.35">
      <c r="B1198" t="s">
        <v>1194</v>
      </c>
      <c r="C1198">
        <v>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3</v>
      </c>
      <c r="J1198">
        <v>1</v>
      </c>
      <c r="K1198">
        <f t="shared" si="20"/>
        <v>1</v>
      </c>
    </row>
    <row r="1199" spans="2:11" x14ac:dyDescent="0.35">
      <c r="B1199" t="s">
        <v>1195</v>
      </c>
      <c r="C1199">
        <v>33</v>
      </c>
      <c r="D1199">
        <v>1</v>
      </c>
      <c r="E1199">
        <v>0</v>
      </c>
      <c r="F1199">
        <v>1</v>
      </c>
      <c r="G1199">
        <v>1</v>
      </c>
      <c r="H1199">
        <v>2</v>
      </c>
      <c r="I1199">
        <v>9</v>
      </c>
      <c r="J1199">
        <v>20</v>
      </c>
      <c r="K1199">
        <f t="shared" si="20"/>
        <v>5</v>
      </c>
    </row>
    <row r="1200" spans="2:11" x14ac:dyDescent="0.35">
      <c r="B1200" t="s">
        <v>1196</v>
      </c>
      <c r="C1200">
        <v>24</v>
      </c>
      <c r="D1200">
        <v>1</v>
      </c>
      <c r="E1200">
        <v>0</v>
      </c>
      <c r="F1200">
        <v>1</v>
      </c>
      <c r="G1200">
        <v>0</v>
      </c>
      <c r="H1200">
        <v>0</v>
      </c>
      <c r="I1200">
        <v>3</v>
      </c>
      <c r="J1200">
        <v>20</v>
      </c>
      <c r="K1200">
        <f t="shared" si="20"/>
        <v>3</v>
      </c>
    </row>
    <row r="1201" spans="2:11" x14ac:dyDescent="0.35">
      <c r="B1201" t="s">
        <v>1197</v>
      </c>
      <c r="C1201">
        <v>56</v>
      </c>
      <c r="D1201">
        <v>1</v>
      </c>
      <c r="E1201">
        <v>0</v>
      </c>
      <c r="F1201">
        <v>0</v>
      </c>
      <c r="G1201">
        <v>22</v>
      </c>
      <c r="H1201">
        <v>2</v>
      </c>
      <c r="I1201">
        <v>4</v>
      </c>
      <c r="J1201">
        <v>28</v>
      </c>
      <c r="K1201">
        <f t="shared" si="20"/>
        <v>4</v>
      </c>
    </row>
    <row r="1202" spans="2:11" x14ac:dyDescent="0.35">
      <c r="B1202" t="s">
        <v>1198</v>
      </c>
      <c r="C1202">
        <v>42</v>
      </c>
      <c r="D1202">
        <v>1</v>
      </c>
      <c r="E1202">
        <v>1</v>
      </c>
      <c r="F1202">
        <v>0</v>
      </c>
      <c r="G1202">
        <v>4</v>
      </c>
      <c r="H1202">
        <v>2</v>
      </c>
      <c r="I1202">
        <v>19</v>
      </c>
      <c r="J1202">
        <v>16</v>
      </c>
      <c r="K1202">
        <f t="shared" si="20"/>
        <v>5</v>
      </c>
    </row>
    <row r="1203" spans="2:11" x14ac:dyDescent="0.35">
      <c r="B1203" t="s">
        <v>1199</v>
      </c>
      <c r="C1203">
        <v>21</v>
      </c>
      <c r="D1203">
        <v>1</v>
      </c>
      <c r="E1203">
        <v>0</v>
      </c>
      <c r="F1203">
        <v>0</v>
      </c>
      <c r="G1203">
        <v>0</v>
      </c>
      <c r="H1203">
        <v>0</v>
      </c>
      <c r="I1203">
        <v>7</v>
      </c>
      <c r="J1203">
        <v>14</v>
      </c>
      <c r="K1203">
        <f t="shared" si="20"/>
        <v>2</v>
      </c>
    </row>
    <row r="1204" spans="2:11" x14ac:dyDescent="0.35">
      <c r="B1204" t="s">
        <v>1200</v>
      </c>
      <c r="C1204">
        <v>23</v>
      </c>
      <c r="D1204">
        <v>0</v>
      </c>
      <c r="E1204">
        <v>0</v>
      </c>
      <c r="F1204">
        <v>1</v>
      </c>
      <c r="G1204">
        <v>1</v>
      </c>
      <c r="H1204">
        <v>0</v>
      </c>
      <c r="I1204">
        <v>18</v>
      </c>
      <c r="J1204">
        <v>4</v>
      </c>
      <c r="K1204">
        <f t="shared" si="20"/>
        <v>3</v>
      </c>
    </row>
    <row r="1205" spans="2:11" x14ac:dyDescent="0.35">
      <c r="B1205" t="s">
        <v>1201</v>
      </c>
      <c r="C1205">
        <v>36</v>
      </c>
      <c r="D1205">
        <v>1</v>
      </c>
      <c r="E1205">
        <v>0</v>
      </c>
      <c r="F1205">
        <v>0</v>
      </c>
      <c r="G1205">
        <v>0</v>
      </c>
      <c r="H1205">
        <v>0</v>
      </c>
      <c r="I1205">
        <v>15</v>
      </c>
      <c r="J1205">
        <v>21</v>
      </c>
      <c r="K1205">
        <f t="shared" si="20"/>
        <v>2</v>
      </c>
    </row>
    <row r="1206" spans="2:11" x14ac:dyDescent="0.35">
      <c r="B1206" t="s">
        <v>1202</v>
      </c>
      <c r="C1206">
        <v>3</v>
      </c>
      <c r="D1206">
        <v>0</v>
      </c>
      <c r="E1206">
        <v>0</v>
      </c>
      <c r="F1206">
        <v>1</v>
      </c>
      <c r="G1206">
        <v>0</v>
      </c>
      <c r="H1206">
        <v>0</v>
      </c>
      <c r="I1206">
        <v>2</v>
      </c>
      <c r="J1206">
        <v>1</v>
      </c>
      <c r="K1206">
        <f t="shared" si="20"/>
        <v>2</v>
      </c>
    </row>
    <row r="1207" spans="2:11" x14ac:dyDescent="0.35">
      <c r="B1207" t="s">
        <v>1203</v>
      </c>
      <c r="C1207">
        <v>18</v>
      </c>
      <c r="D1207">
        <v>0</v>
      </c>
      <c r="E1207">
        <v>0</v>
      </c>
      <c r="F1207">
        <v>0</v>
      </c>
      <c r="G1207">
        <v>0</v>
      </c>
      <c r="H1207">
        <v>2</v>
      </c>
      <c r="I1207">
        <v>14</v>
      </c>
      <c r="J1207">
        <v>3</v>
      </c>
      <c r="K1207">
        <f t="shared" si="20"/>
        <v>2</v>
      </c>
    </row>
    <row r="1208" spans="2:11" x14ac:dyDescent="0.35">
      <c r="B1208" t="s">
        <v>1204</v>
      </c>
      <c r="C1208">
        <v>6</v>
      </c>
      <c r="D1208">
        <v>1</v>
      </c>
      <c r="E1208">
        <v>0</v>
      </c>
      <c r="F1208">
        <v>0</v>
      </c>
      <c r="G1208">
        <v>0</v>
      </c>
      <c r="H1208">
        <v>0</v>
      </c>
      <c r="I1208">
        <v>2</v>
      </c>
      <c r="J1208">
        <v>4</v>
      </c>
      <c r="K1208">
        <f t="shared" si="20"/>
        <v>2</v>
      </c>
    </row>
    <row r="1209" spans="2:11" x14ac:dyDescent="0.35">
      <c r="B1209" t="s">
        <v>1205</v>
      </c>
      <c r="C1209">
        <v>3</v>
      </c>
      <c r="D1209">
        <v>0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3</v>
      </c>
      <c r="K1209">
        <f t="shared" si="20"/>
        <v>1</v>
      </c>
    </row>
    <row r="1210" spans="2:11" x14ac:dyDescent="0.35">
      <c r="B1210" t="s">
        <v>1206</v>
      </c>
      <c r="C1210">
        <v>67</v>
      </c>
      <c r="D1210">
        <v>1</v>
      </c>
      <c r="E1210">
        <v>0</v>
      </c>
      <c r="F1210">
        <v>0</v>
      </c>
      <c r="G1210">
        <v>8</v>
      </c>
      <c r="H1210">
        <v>26</v>
      </c>
      <c r="I1210">
        <v>15</v>
      </c>
      <c r="J1210">
        <v>18</v>
      </c>
      <c r="K1210">
        <f t="shared" si="20"/>
        <v>4</v>
      </c>
    </row>
    <row r="1211" spans="2:11" x14ac:dyDescent="0.35">
      <c r="B1211" t="s">
        <v>1207</v>
      </c>
      <c r="C1211">
        <v>20</v>
      </c>
      <c r="D1211">
        <v>1</v>
      </c>
      <c r="E1211">
        <v>0</v>
      </c>
      <c r="F1211">
        <v>1</v>
      </c>
      <c r="G1211">
        <v>6</v>
      </c>
      <c r="H1211">
        <v>0</v>
      </c>
      <c r="I1211">
        <v>7</v>
      </c>
      <c r="J1211">
        <v>6</v>
      </c>
      <c r="K1211">
        <f t="shared" si="20"/>
        <v>4</v>
      </c>
    </row>
    <row r="1212" spans="2:11" x14ac:dyDescent="0.35">
      <c r="B1212" t="s">
        <v>1208</v>
      </c>
      <c r="C1212">
        <v>39</v>
      </c>
      <c r="D1212">
        <v>1</v>
      </c>
      <c r="E1212">
        <v>0</v>
      </c>
      <c r="F1212">
        <v>1</v>
      </c>
      <c r="G1212">
        <v>8</v>
      </c>
      <c r="H1212">
        <v>2</v>
      </c>
      <c r="I1212">
        <v>10</v>
      </c>
      <c r="J1212">
        <v>18</v>
      </c>
      <c r="K1212">
        <f t="shared" si="20"/>
        <v>5</v>
      </c>
    </row>
    <row r="1213" spans="2:11" x14ac:dyDescent="0.35">
      <c r="B1213" t="s">
        <v>1209</v>
      </c>
      <c r="C1213">
        <v>8</v>
      </c>
      <c r="D1213">
        <v>0</v>
      </c>
      <c r="E1213">
        <v>0</v>
      </c>
      <c r="F1213">
        <v>1</v>
      </c>
      <c r="G1213">
        <v>0</v>
      </c>
      <c r="H1213">
        <v>2</v>
      </c>
      <c r="I1213">
        <v>4</v>
      </c>
      <c r="J1213">
        <v>2</v>
      </c>
      <c r="K1213">
        <f t="shared" si="20"/>
        <v>3</v>
      </c>
    </row>
    <row r="1214" spans="2:11" x14ac:dyDescent="0.35">
      <c r="B1214" t="s">
        <v>1210</v>
      </c>
      <c r="C1214">
        <v>20</v>
      </c>
      <c r="D1214">
        <v>4</v>
      </c>
      <c r="E1214">
        <v>0</v>
      </c>
      <c r="F1214">
        <v>1</v>
      </c>
      <c r="G1214">
        <v>0</v>
      </c>
      <c r="H1214">
        <v>1</v>
      </c>
      <c r="I1214">
        <v>11</v>
      </c>
      <c r="J1214">
        <v>4</v>
      </c>
      <c r="K1214">
        <f t="shared" si="20"/>
        <v>4</v>
      </c>
    </row>
    <row r="1215" spans="2:11" x14ac:dyDescent="0.35">
      <c r="B1215" t="s">
        <v>1211</v>
      </c>
      <c r="C1215">
        <v>100</v>
      </c>
      <c r="D1215">
        <v>2</v>
      </c>
      <c r="E1215">
        <v>0</v>
      </c>
      <c r="F1215">
        <v>0</v>
      </c>
      <c r="G1215">
        <v>3</v>
      </c>
      <c r="H1215">
        <v>9</v>
      </c>
      <c r="I1215">
        <v>37</v>
      </c>
      <c r="J1215">
        <v>50</v>
      </c>
      <c r="K1215">
        <f t="shared" si="20"/>
        <v>4</v>
      </c>
    </row>
    <row r="1216" spans="2:11" x14ac:dyDescent="0.35">
      <c r="B1216" t="s">
        <v>1212</v>
      </c>
      <c r="C1216">
        <v>13</v>
      </c>
      <c r="D1216">
        <v>0</v>
      </c>
      <c r="E1216">
        <v>0</v>
      </c>
      <c r="F1216">
        <v>0</v>
      </c>
      <c r="G1216">
        <v>1</v>
      </c>
      <c r="H1216">
        <v>0</v>
      </c>
      <c r="I1216">
        <v>4</v>
      </c>
      <c r="J1216">
        <v>9</v>
      </c>
      <c r="K1216">
        <f t="shared" si="20"/>
        <v>2</v>
      </c>
    </row>
    <row r="1217" spans="2:11" x14ac:dyDescent="0.35">
      <c r="B1217" t="s">
        <v>1213</v>
      </c>
      <c r="C1217">
        <v>118</v>
      </c>
      <c r="D1217">
        <v>2</v>
      </c>
      <c r="E1217">
        <v>0</v>
      </c>
      <c r="F1217">
        <v>1</v>
      </c>
      <c r="G1217">
        <v>0</v>
      </c>
      <c r="H1217">
        <v>37</v>
      </c>
      <c r="I1217">
        <v>19</v>
      </c>
      <c r="J1217">
        <v>60</v>
      </c>
      <c r="K1217">
        <f t="shared" si="20"/>
        <v>4</v>
      </c>
    </row>
    <row r="1218" spans="2:11" x14ac:dyDescent="0.35">
      <c r="B1218" t="s">
        <v>1214</v>
      </c>
      <c r="C1218">
        <v>32</v>
      </c>
      <c r="D1218">
        <v>2</v>
      </c>
      <c r="E1218">
        <v>0</v>
      </c>
      <c r="F1218">
        <v>0</v>
      </c>
      <c r="G1218">
        <v>0</v>
      </c>
      <c r="H1218">
        <v>7</v>
      </c>
      <c r="I1218">
        <v>6</v>
      </c>
      <c r="J1218">
        <v>18</v>
      </c>
      <c r="K1218">
        <f t="shared" si="20"/>
        <v>3</v>
      </c>
    </row>
    <row r="1219" spans="2:11" x14ac:dyDescent="0.35">
      <c r="B1219" t="s">
        <v>1215</v>
      </c>
      <c r="C1219">
        <v>14</v>
      </c>
      <c r="D1219">
        <v>1</v>
      </c>
      <c r="E1219">
        <v>0</v>
      </c>
      <c r="F1219">
        <v>0</v>
      </c>
      <c r="G1219">
        <v>5</v>
      </c>
      <c r="H1219">
        <v>0</v>
      </c>
      <c r="I1219">
        <v>4</v>
      </c>
      <c r="J1219">
        <v>5</v>
      </c>
      <c r="K1219">
        <f t="shared" si="20"/>
        <v>3</v>
      </c>
    </row>
    <row r="1220" spans="2:11" x14ac:dyDescent="0.35">
      <c r="B1220" t="s">
        <v>1216</v>
      </c>
      <c r="C1220">
        <v>60</v>
      </c>
      <c r="D1220">
        <v>3</v>
      </c>
      <c r="E1220">
        <v>0</v>
      </c>
      <c r="F1220">
        <v>0</v>
      </c>
      <c r="G1220">
        <v>0</v>
      </c>
      <c r="H1220">
        <v>3</v>
      </c>
      <c r="I1220">
        <v>40</v>
      </c>
      <c r="J1220">
        <v>15</v>
      </c>
      <c r="K1220">
        <f t="shared" si="20"/>
        <v>3</v>
      </c>
    </row>
    <row r="1221" spans="2:11" x14ac:dyDescent="0.35">
      <c r="B1221" t="s">
        <v>1217</v>
      </c>
      <c r="C1221">
        <v>44</v>
      </c>
      <c r="D1221">
        <v>5</v>
      </c>
      <c r="E1221">
        <v>0</v>
      </c>
      <c r="F1221">
        <v>1</v>
      </c>
      <c r="G1221">
        <v>0</v>
      </c>
      <c r="H1221">
        <v>14</v>
      </c>
      <c r="I1221">
        <v>11</v>
      </c>
      <c r="J1221">
        <v>14</v>
      </c>
      <c r="K1221">
        <f t="shared" si="20"/>
        <v>4</v>
      </c>
    </row>
    <row r="1222" spans="2:11" x14ac:dyDescent="0.35">
      <c r="B1222" t="s">
        <v>1218</v>
      </c>
      <c r="C1222">
        <v>77</v>
      </c>
      <c r="D1222">
        <v>7</v>
      </c>
      <c r="E1222">
        <v>0</v>
      </c>
      <c r="F1222">
        <v>0</v>
      </c>
      <c r="G1222">
        <v>1</v>
      </c>
      <c r="H1222">
        <v>6</v>
      </c>
      <c r="I1222">
        <v>33</v>
      </c>
      <c r="J1222">
        <v>31</v>
      </c>
      <c r="K1222">
        <f t="shared" si="20"/>
        <v>4</v>
      </c>
    </row>
    <row r="1223" spans="2:11" x14ac:dyDescent="0.35">
      <c r="B1223" t="s">
        <v>1219</v>
      </c>
      <c r="C1223">
        <v>31</v>
      </c>
      <c r="D1223">
        <v>0</v>
      </c>
      <c r="E1223">
        <v>0</v>
      </c>
      <c r="F1223">
        <v>0</v>
      </c>
      <c r="G1223">
        <v>1</v>
      </c>
      <c r="H1223">
        <v>1</v>
      </c>
      <c r="I1223">
        <v>14</v>
      </c>
      <c r="J1223">
        <v>16</v>
      </c>
      <c r="K1223">
        <f t="shared" si="20"/>
        <v>3</v>
      </c>
    </row>
    <row r="1224" spans="2:11" x14ac:dyDescent="0.35">
      <c r="B1224" t="s">
        <v>1220</v>
      </c>
      <c r="C1224">
        <v>61</v>
      </c>
      <c r="D1224">
        <v>5</v>
      </c>
      <c r="E1224">
        <v>0</v>
      </c>
      <c r="F1224">
        <v>0</v>
      </c>
      <c r="G1224">
        <v>1</v>
      </c>
      <c r="H1224">
        <v>23</v>
      </c>
      <c r="I1224">
        <v>9</v>
      </c>
      <c r="J1224">
        <v>24</v>
      </c>
      <c r="K1224">
        <f t="shared" si="20"/>
        <v>4</v>
      </c>
    </row>
    <row r="1225" spans="2:11" x14ac:dyDescent="0.35">
      <c r="B1225" t="s">
        <v>1221</v>
      </c>
      <c r="C1225">
        <v>9</v>
      </c>
      <c r="D1225">
        <v>0</v>
      </c>
      <c r="E1225">
        <v>0</v>
      </c>
      <c r="F1225">
        <v>1</v>
      </c>
      <c r="G1225">
        <v>0</v>
      </c>
      <c r="H1225">
        <v>0</v>
      </c>
      <c r="I1225">
        <v>5</v>
      </c>
      <c r="J1225">
        <v>4</v>
      </c>
      <c r="K1225">
        <f t="shared" si="20"/>
        <v>2</v>
      </c>
    </row>
    <row r="1226" spans="2:11" x14ac:dyDescent="0.35">
      <c r="B1226" t="s">
        <v>1222</v>
      </c>
      <c r="C1226">
        <v>20</v>
      </c>
      <c r="D1226">
        <v>0</v>
      </c>
      <c r="E1226">
        <v>1</v>
      </c>
      <c r="F1226">
        <v>1</v>
      </c>
      <c r="G1226">
        <v>0</v>
      </c>
      <c r="H1226">
        <v>0</v>
      </c>
      <c r="I1226">
        <v>8</v>
      </c>
      <c r="J1226">
        <v>11</v>
      </c>
      <c r="K1226">
        <f t="shared" si="20"/>
        <v>3</v>
      </c>
    </row>
    <row r="1227" spans="2:11" x14ac:dyDescent="0.35">
      <c r="B1227" t="s">
        <v>1223</v>
      </c>
      <c r="C1227">
        <v>27</v>
      </c>
      <c r="D1227">
        <v>0</v>
      </c>
      <c r="E1227">
        <v>0</v>
      </c>
      <c r="F1227">
        <v>0</v>
      </c>
      <c r="G1227">
        <v>1</v>
      </c>
      <c r="H1227">
        <v>0</v>
      </c>
      <c r="I1227">
        <v>3</v>
      </c>
      <c r="J1227">
        <v>24</v>
      </c>
      <c r="K1227">
        <f t="shared" si="20"/>
        <v>2</v>
      </c>
    </row>
    <row r="1228" spans="2:11" x14ac:dyDescent="0.35">
      <c r="B1228" t="s">
        <v>1224</v>
      </c>
      <c r="C1228">
        <v>43</v>
      </c>
      <c r="D1228">
        <v>1</v>
      </c>
      <c r="E1228">
        <v>1</v>
      </c>
      <c r="F1228">
        <v>1</v>
      </c>
      <c r="G1228">
        <v>0</v>
      </c>
      <c r="H1228">
        <v>5</v>
      </c>
      <c r="I1228">
        <v>24</v>
      </c>
      <c r="J1228">
        <v>12</v>
      </c>
      <c r="K1228">
        <f t="shared" ref="K1228:K1291" si="21">COUNTIF(D1228:I1228, "&gt;0")</f>
        <v>5</v>
      </c>
    </row>
    <row r="1229" spans="2:11" x14ac:dyDescent="0.35">
      <c r="B1229" t="s">
        <v>1225</v>
      </c>
      <c r="C1229">
        <v>17</v>
      </c>
      <c r="D1229">
        <v>1</v>
      </c>
      <c r="E1229">
        <v>0</v>
      </c>
      <c r="F1229">
        <v>0</v>
      </c>
      <c r="G1229">
        <v>1</v>
      </c>
      <c r="H1229">
        <v>0</v>
      </c>
      <c r="I1229">
        <v>11</v>
      </c>
      <c r="J1229">
        <v>5</v>
      </c>
      <c r="K1229">
        <f t="shared" si="21"/>
        <v>3</v>
      </c>
    </row>
    <row r="1230" spans="2:11" x14ac:dyDescent="0.35">
      <c r="B1230" t="s">
        <v>1226</v>
      </c>
      <c r="C1230">
        <v>2</v>
      </c>
      <c r="D1230">
        <v>0</v>
      </c>
      <c r="E1230">
        <v>0</v>
      </c>
      <c r="F1230">
        <v>1</v>
      </c>
      <c r="G1230">
        <v>0</v>
      </c>
      <c r="H1230">
        <v>0</v>
      </c>
      <c r="I1230">
        <v>2</v>
      </c>
      <c r="J1230">
        <v>0</v>
      </c>
      <c r="K1230">
        <f t="shared" si="21"/>
        <v>2</v>
      </c>
    </row>
    <row r="1231" spans="2:11" x14ac:dyDescent="0.35">
      <c r="B1231" t="s">
        <v>1227</v>
      </c>
      <c r="C1231">
        <v>38</v>
      </c>
      <c r="D1231">
        <v>1</v>
      </c>
      <c r="E1231">
        <v>1</v>
      </c>
      <c r="F1231">
        <v>0</v>
      </c>
      <c r="G1231">
        <v>1</v>
      </c>
      <c r="H1231">
        <v>2</v>
      </c>
      <c r="I1231">
        <v>21</v>
      </c>
      <c r="J1231">
        <v>13</v>
      </c>
      <c r="K1231">
        <f t="shared" si="21"/>
        <v>5</v>
      </c>
    </row>
    <row r="1232" spans="2:11" x14ac:dyDescent="0.35">
      <c r="B1232" t="s">
        <v>1228</v>
      </c>
      <c r="C1232">
        <v>21</v>
      </c>
      <c r="D1232">
        <v>7</v>
      </c>
      <c r="E1232">
        <v>0</v>
      </c>
      <c r="F1232">
        <v>0</v>
      </c>
      <c r="G1232">
        <v>0</v>
      </c>
      <c r="H1232">
        <v>1</v>
      </c>
      <c r="I1232">
        <v>11</v>
      </c>
      <c r="J1232">
        <v>3</v>
      </c>
      <c r="K1232">
        <f t="shared" si="21"/>
        <v>3</v>
      </c>
    </row>
    <row r="1233" spans="2:11" x14ac:dyDescent="0.35">
      <c r="B1233" t="s">
        <v>1229</v>
      </c>
      <c r="C1233">
        <v>11</v>
      </c>
      <c r="D1233">
        <v>0</v>
      </c>
      <c r="E1233">
        <v>0</v>
      </c>
      <c r="F1233">
        <v>1</v>
      </c>
      <c r="G1233">
        <v>4</v>
      </c>
      <c r="H1233">
        <v>1</v>
      </c>
      <c r="I1233">
        <v>1</v>
      </c>
      <c r="J1233">
        <v>5</v>
      </c>
      <c r="K1233">
        <f t="shared" si="21"/>
        <v>4</v>
      </c>
    </row>
    <row r="1234" spans="2:11" x14ac:dyDescent="0.35">
      <c r="B1234" t="s">
        <v>1230</v>
      </c>
      <c r="C1234">
        <v>78</v>
      </c>
      <c r="D1234">
        <v>3</v>
      </c>
      <c r="E1234">
        <v>0</v>
      </c>
      <c r="F1234">
        <v>1</v>
      </c>
      <c r="G1234">
        <v>19</v>
      </c>
      <c r="H1234">
        <v>3</v>
      </c>
      <c r="I1234">
        <v>16</v>
      </c>
      <c r="J1234">
        <v>37</v>
      </c>
      <c r="K1234">
        <f t="shared" si="21"/>
        <v>5</v>
      </c>
    </row>
    <row r="1235" spans="2:11" x14ac:dyDescent="0.35">
      <c r="B1235" t="s">
        <v>1231</v>
      </c>
      <c r="C1235">
        <v>37</v>
      </c>
      <c r="D1235">
        <v>2</v>
      </c>
      <c r="E1235">
        <v>0</v>
      </c>
      <c r="F1235">
        <v>0</v>
      </c>
      <c r="G1235">
        <v>8</v>
      </c>
      <c r="H1235">
        <v>3</v>
      </c>
      <c r="I1235">
        <v>14</v>
      </c>
      <c r="J1235">
        <v>11</v>
      </c>
      <c r="K1235">
        <f t="shared" si="21"/>
        <v>4</v>
      </c>
    </row>
    <row r="1236" spans="2:11" x14ac:dyDescent="0.35">
      <c r="B1236" t="s">
        <v>1232</v>
      </c>
      <c r="C1236">
        <v>14</v>
      </c>
      <c r="D1236">
        <v>3</v>
      </c>
      <c r="E1236">
        <v>0</v>
      </c>
      <c r="F1236">
        <v>1</v>
      </c>
      <c r="G1236">
        <v>0</v>
      </c>
      <c r="H1236">
        <v>0</v>
      </c>
      <c r="I1236">
        <v>4</v>
      </c>
      <c r="J1236">
        <v>7</v>
      </c>
      <c r="K1236">
        <f t="shared" si="21"/>
        <v>3</v>
      </c>
    </row>
    <row r="1237" spans="2:11" x14ac:dyDescent="0.35">
      <c r="B1237" t="s">
        <v>1233</v>
      </c>
      <c r="C1237">
        <v>37</v>
      </c>
      <c r="D1237">
        <v>3</v>
      </c>
      <c r="E1237">
        <v>1</v>
      </c>
      <c r="F1237">
        <v>1</v>
      </c>
      <c r="G1237">
        <v>2</v>
      </c>
      <c r="H1237">
        <v>4</v>
      </c>
      <c r="I1237">
        <v>8</v>
      </c>
      <c r="J1237">
        <v>19</v>
      </c>
      <c r="K1237">
        <f t="shared" si="21"/>
        <v>6</v>
      </c>
    </row>
    <row r="1238" spans="2:11" x14ac:dyDescent="0.35">
      <c r="B1238" t="s">
        <v>1234</v>
      </c>
      <c r="C1238">
        <v>102</v>
      </c>
      <c r="D1238">
        <v>2</v>
      </c>
      <c r="E1238">
        <v>0</v>
      </c>
      <c r="F1238">
        <v>0</v>
      </c>
      <c r="G1238">
        <v>33</v>
      </c>
      <c r="H1238">
        <v>6</v>
      </c>
      <c r="I1238">
        <v>24</v>
      </c>
      <c r="J1238">
        <v>38</v>
      </c>
      <c r="K1238">
        <f t="shared" si="21"/>
        <v>4</v>
      </c>
    </row>
    <row r="1239" spans="2:11" x14ac:dyDescent="0.35">
      <c r="B1239" t="s">
        <v>1235</v>
      </c>
      <c r="C1239">
        <v>35</v>
      </c>
      <c r="D1239">
        <v>6</v>
      </c>
      <c r="E1239">
        <v>1</v>
      </c>
      <c r="F1239">
        <v>0</v>
      </c>
      <c r="G1239">
        <v>1</v>
      </c>
      <c r="H1239">
        <v>0</v>
      </c>
      <c r="I1239">
        <v>13</v>
      </c>
      <c r="J1239">
        <v>15</v>
      </c>
      <c r="K1239">
        <f t="shared" si="21"/>
        <v>4</v>
      </c>
    </row>
    <row r="1240" spans="2:11" x14ac:dyDescent="0.35">
      <c r="B1240" t="s">
        <v>1236</v>
      </c>
      <c r="C1240">
        <v>49</v>
      </c>
      <c r="D1240">
        <v>0</v>
      </c>
      <c r="E1240">
        <v>0</v>
      </c>
      <c r="F1240">
        <v>0</v>
      </c>
      <c r="G1240">
        <v>1</v>
      </c>
      <c r="H1240">
        <v>8</v>
      </c>
      <c r="I1240">
        <v>18</v>
      </c>
      <c r="J1240">
        <v>23</v>
      </c>
      <c r="K1240">
        <f t="shared" si="21"/>
        <v>3</v>
      </c>
    </row>
    <row r="1241" spans="2:11" x14ac:dyDescent="0.35">
      <c r="B1241" t="s">
        <v>1237</v>
      </c>
      <c r="C1241">
        <v>22</v>
      </c>
      <c r="D1241">
        <v>1</v>
      </c>
      <c r="E1241">
        <v>0</v>
      </c>
      <c r="F1241">
        <v>0</v>
      </c>
      <c r="G1241">
        <v>0</v>
      </c>
      <c r="H1241">
        <v>1</v>
      </c>
      <c r="I1241">
        <v>8</v>
      </c>
      <c r="J1241">
        <v>13</v>
      </c>
      <c r="K1241">
        <f t="shared" si="21"/>
        <v>3</v>
      </c>
    </row>
    <row r="1242" spans="2:11" x14ac:dyDescent="0.35">
      <c r="B1242" t="s">
        <v>1238</v>
      </c>
      <c r="C1242">
        <v>8</v>
      </c>
      <c r="D1242">
        <v>1</v>
      </c>
      <c r="E1242">
        <v>0</v>
      </c>
      <c r="F1242">
        <v>1</v>
      </c>
      <c r="G1242">
        <v>0</v>
      </c>
      <c r="H1242">
        <v>0</v>
      </c>
      <c r="I1242">
        <v>2</v>
      </c>
      <c r="J1242">
        <v>5</v>
      </c>
      <c r="K1242">
        <f t="shared" si="21"/>
        <v>3</v>
      </c>
    </row>
    <row r="1243" spans="2:11" x14ac:dyDescent="0.35">
      <c r="B1243" t="s">
        <v>1239</v>
      </c>
      <c r="C1243">
        <v>36</v>
      </c>
      <c r="D1243">
        <v>5</v>
      </c>
      <c r="E1243">
        <v>0</v>
      </c>
      <c r="F1243">
        <v>1</v>
      </c>
      <c r="G1243">
        <v>1</v>
      </c>
      <c r="H1243">
        <v>4</v>
      </c>
      <c r="I1243">
        <v>13</v>
      </c>
      <c r="J1243">
        <v>13</v>
      </c>
      <c r="K1243">
        <f t="shared" si="21"/>
        <v>5</v>
      </c>
    </row>
    <row r="1244" spans="2:11" x14ac:dyDescent="0.35">
      <c r="B1244" t="s">
        <v>1240</v>
      </c>
      <c r="C1244">
        <v>21</v>
      </c>
      <c r="D1244">
        <v>1</v>
      </c>
      <c r="E1244">
        <v>0</v>
      </c>
      <c r="F1244">
        <v>0</v>
      </c>
      <c r="G1244">
        <v>1</v>
      </c>
      <c r="H1244">
        <v>4</v>
      </c>
      <c r="I1244">
        <v>7</v>
      </c>
      <c r="J1244">
        <v>9</v>
      </c>
      <c r="K1244">
        <f t="shared" si="21"/>
        <v>4</v>
      </c>
    </row>
    <row r="1245" spans="2:11" x14ac:dyDescent="0.35">
      <c r="B1245" t="s">
        <v>1241</v>
      </c>
      <c r="C1245">
        <v>107</v>
      </c>
      <c r="D1245">
        <v>2</v>
      </c>
      <c r="E1245">
        <v>0</v>
      </c>
      <c r="F1245">
        <v>1</v>
      </c>
      <c r="G1245">
        <v>9</v>
      </c>
      <c r="H1245">
        <v>14</v>
      </c>
      <c r="I1245">
        <v>55</v>
      </c>
      <c r="J1245">
        <v>27</v>
      </c>
      <c r="K1245">
        <f t="shared" si="21"/>
        <v>5</v>
      </c>
    </row>
    <row r="1246" spans="2:11" x14ac:dyDescent="0.35">
      <c r="B1246" t="s">
        <v>1242</v>
      </c>
      <c r="C1246">
        <v>23</v>
      </c>
      <c r="D1246">
        <v>1</v>
      </c>
      <c r="E1246">
        <v>0</v>
      </c>
      <c r="F1246">
        <v>0</v>
      </c>
      <c r="G1246">
        <v>1</v>
      </c>
      <c r="H1246">
        <v>0</v>
      </c>
      <c r="I1246">
        <v>10</v>
      </c>
      <c r="J1246">
        <v>12</v>
      </c>
      <c r="K1246">
        <f t="shared" si="21"/>
        <v>3</v>
      </c>
    </row>
    <row r="1247" spans="2:11" x14ac:dyDescent="0.35">
      <c r="B1247" t="s">
        <v>1243</v>
      </c>
      <c r="C1247">
        <v>3</v>
      </c>
      <c r="D1247">
        <v>0</v>
      </c>
      <c r="E1247">
        <v>0</v>
      </c>
      <c r="F1247">
        <v>1</v>
      </c>
      <c r="G1247">
        <v>0</v>
      </c>
      <c r="H1247">
        <v>0</v>
      </c>
      <c r="I1247">
        <v>2</v>
      </c>
      <c r="J1247">
        <v>1</v>
      </c>
      <c r="K1247">
        <f t="shared" si="21"/>
        <v>2</v>
      </c>
    </row>
    <row r="1248" spans="2:11" x14ac:dyDescent="0.35">
      <c r="B1248" t="s">
        <v>1244</v>
      </c>
      <c r="C1248">
        <v>44</v>
      </c>
      <c r="D1248">
        <v>1</v>
      </c>
      <c r="E1248">
        <v>0</v>
      </c>
      <c r="F1248">
        <v>0</v>
      </c>
      <c r="G1248">
        <v>14</v>
      </c>
      <c r="H1248">
        <v>11</v>
      </c>
      <c r="I1248">
        <v>7</v>
      </c>
      <c r="J1248">
        <v>12</v>
      </c>
      <c r="K1248">
        <f t="shared" si="21"/>
        <v>4</v>
      </c>
    </row>
    <row r="1249" spans="2:11" x14ac:dyDescent="0.35">
      <c r="B1249" t="s">
        <v>1245</v>
      </c>
      <c r="C1249">
        <v>29</v>
      </c>
      <c r="D1249">
        <v>4</v>
      </c>
      <c r="E1249">
        <v>0</v>
      </c>
      <c r="F1249">
        <v>0</v>
      </c>
      <c r="G1249">
        <v>6</v>
      </c>
      <c r="H1249">
        <v>0</v>
      </c>
      <c r="I1249">
        <v>17</v>
      </c>
      <c r="J1249">
        <v>3</v>
      </c>
      <c r="K1249">
        <f t="shared" si="21"/>
        <v>3</v>
      </c>
    </row>
    <row r="1250" spans="2:11" x14ac:dyDescent="0.35">
      <c r="B1250" t="s">
        <v>1246</v>
      </c>
      <c r="C1250">
        <v>27</v>
      </c>
      <c r="D1250">
        <v>2</v>
      </c>
      <c r="E1250">
        <v>0</v>
      </c>
      <c r="F1250">
        <v>1</v>
      </c>
      <c r="G1250">
        <v>3</v>
      </c>
      <c r="H1250">
        <v>3</v>
      </c>
      <c r="I1250">
        <v>13</v>
      </c>
      <c r="J1250">
        <v>6</v>
      </c>
      <c r="K1250">
        <f t="shared" si="21"/>
        <v>5</v>
      </c>
    </row>
    <row r="1251" spans="2:11" x14ac:dyDescent="0.35">
      <c r="B1251" t="s">
        <v>1247</v>
      </c>
      <c r="C1251">
        <v>36</v>
      </c>
      <c r="D1251">
        <v>0</v>
      </c>
      <c r="E1251">
        <v>0</v>
      </c>
      <c r="F1251">
        <v>0</v>
      </c>
      <c r="G1251">
        <v>0</v>
      </c>
      <c r="H1251">
        <v>6</v>
      </c>
      <c r="I1251">
        <v>13</v>
      </c>
      <c r="J1251">
        <v>18</v>
      </c>
      <c r="K1251">
        <f t="shared" si="21"/>
        <v>2</v>
      </c>
    </row>
    <row r="1252" spans="2:11" x14ac:dyDescent="0.35">
      <c r="B1252" t="s">
        <v>1248</v>
      </c>
      <c r="C1252">
        <v>34</v>
      </c>
      <c r="D1252">
        <v>3</v>
      </c>
      <c r="E1252">
        <v>0</v>
      </c>
      <c r="F1252">
        <v>0</v>
      </c>
      <c r="G1252">
        <v>0</v>
      </c>
      <c r="H1252">
        <v>0</v>
      </c>
      <c r="I1252">
        <v>9</v>
      </c>
      <c r="J1252">
        <v>23</v>
      </c>
      <c r="K1252">
        <f t="shared" si="21"/>
        <v>2</v>
      </c>
    </row>
    <row r="1253" spans="2:11" x14ac:dyDescent="0.35">
      <c r="B1253" t="s">
        <v>1249</v>
      </c>
      <c r="C1253">
        <v>45</v>
      </c>
      <c r="D1253">
        <v>4</v>
      </c>
      <c r="E1253">
        <v>0</v>
      </c>
      <c r="F1253">
        <v>2</v>
      </c>
      <c r="G1253">
        <v>0</v>
      </c>
      <c r="H1253">
        <v>1</v>
      </c>
      <c r="I1253">
        <v>10</v>
      </c>
      <c r="J1253">
        <v>29</v>
      </c>
      <c r="K1253">
        <f t="shared" si="21"/>
        <v>4</v>
      </c>
    </row>
    <row r="1254" spans="2:11" x14ac:dyDescent="0.35">
      <c r="B1254" t="s">
        <v>1250</v>
      </c>
      <c r="C1254">
        <v>42</v>
      </c>
      <c r="D1254">
        <v>2</v>
      </c>
      <c r="E1254">
        <v>0</v>
      </c>
      <c r="F1254">
        <v>1</v>
      </c>
      <c r="G1254">
        <v>12</v>
      </c>
      <c r="H1254">
        <v>3</v>
      </c>
      <c r="I1254">
        <v>20</v>
      </c>
      <c r="J1254">
        <v>5</v>
      </c>
      <c r="K1254">
        <f t="shared" si="21"/>
        <v>5</v>
      </c>
    </row>
    <row r="1255" spans="2:11" x14ac:dyDescent="0.35">
      <c r="B1255" t="s">
        <v>1251</v>
      </c>
      <c r="C1255">
        <v>3</v>
      </c>
      <c r="D1255">
        <v>0</v>
      </c>
      <c r="E1255">
        <v>0</v>
      </c>
      <c r="F1255">
        <v>1</v>
      </c>
      <c r="G1255">
        <v>0</v>
      </c>
      <c r="H1255">
        <v>0</v>
      </c>
      <c r="I1255">
        <v>2</v>
      </c>
      <c r="J1255">
        <v>1</v>
      </c>
      <c r="K1255">
        <f t="shared" si="21"/>
        <v>2</v>
      </c>
    </row>
    <row r="1256" spans="2:11" x14ac:dyDescent="0.35">
      <c r="B1256" t="s">
        <v>1252</v>
      </c>
      <c r="C1256">
        <v>21</v>
      </c>
      <c r="D1256">
        <v>1</v>
      </c>
      <c r="E1256">
        <v>0</v>
      </c>
      <c r="F1256">
        <v>0</v>
      </c>
      <c r="G1256">
        <v>5</v>
      </c>
      <c r="H1256">
        <v>4</v>
      </c>
      <c r="I1256">
        <v>5</v>
      </c>
      <c r="J1256">
        <v>7</v>
      </c>
      <c r="K1256">
        <f t="shared" si="21"/>
        <v>4</v>
      </c>
    </row>
    <row r="1257" spans="2:11" x14ac:dyDescent="0.35">
      <c r="B1257" t="s">
        <v>1253</v>
      </c>
      <c r="C1257">
        <v>22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5</v>
      </c>
      <c r="J1257">
        <v>14</v>
      </c>
      <c r="K1257">
        <f t="shared" si="21"/>
        <v>2</v>
      </c>
    </row>
    <row r="1258" spans="2:11" x14ac:dyDescent="0.35">
      <c r="B1258" t="s">
        <v>1254</v>
      </c>
      <c r="C1258">
        <v>42</v>
      </c>
      <c r="D1258">
        <v>2</v>
      </c>
      <c r="E1258">
        <v>0</v>
      </c>
      <c r="F1258">
        <v>0</v>
      </c>
      <c r="G1258">
        <v>6</v>
      </c>
      <c r="H1258">
        <v>7</v>
      </c>
      <c r="I1258">
        <v>17</v>
      </c>
      <c r="J1258">
        <v>11</v>
      </c>
      <c r="K1258">
        <f t="shared" si="21"/>
        <v>4</v>
      </c>
    </row>
    <row r="1259" spans="2:11" x14ac:dyDescent="0.35">
      <c r="B1259" t="s">
        <v>1255</v>
      </c>
      <c r="C1259">
        <v>53</v>
      </c>
      <c r="D1259">
        <v>1</v>
      </c>
      <c r="E1259">
        <v>0</v>
      </c>
      <c r="F1259">
        <v>1</v>
      </c>
      <c r="G1259">
        <v>1</v>
      </c>
      <c r="H1259">
        <v>0</v>
      </c>
      <c r="I1259">
        <v>5</v>
      </c>
      <c r="J1259">
        <v>46</v>
      </c>
      <c r="K1259">
        <f t="shared" si="21"/>
        <v>4</v>
      </c>
    </row>
    <row r="1260" spans="2:11" x14ac:dyDescent="0.35">
      <c r="B1260" t="s">
        <v>1256</v>
      </c>
      <c r="C1260">
        <v>12</v>
      </c>
      <c r="D1260">
        <v>1</v>
      </c>
      <c r="E1260">
        <v>0</v>
      </c>
      <c r="F1260">
        <v>0</v>
      </c>
      <c r="G1260">
        <v>0</v>
      </c>
      <c r="H1260">
        <v>0</v>
      </c>
      <c r="I1260">
        <v>6</v>
      </c>
      <c r="J1260">
        <v>6</v>
      </c>
      <c r="K1260">
        <f t="shared" si="21"/>
        <v>2</v>
      </c>
    </row>
    <row r="1261" spans="2:11" x14ac:dyDescent="0.35">
      <c r="B1261" t="s">
        <v>1257</v>
      </c>
      <c r="C1261">
        <v>30</v>
      </c>
      <c r="D1261">
        <v>4</v>
      </c>
      <c r="E1261">
        <v>1</v>
      </c>
      <c r="F1261">
        <v>0</v>
      </c>
      <c r="G1261">
        <v>2</v>
      </c>
      <c r="H1261">
        <v>1</v>
      </c>
      <c r="I1261">
        <v>10</v>
      </c>
      <c r="J1261">
        <v>13</v>
      </c>
      <c r="K1261">
        <f t="shared" si="21"/>
        <v>5</v>
      </c>
    </row>
    <row r="1262" spans="2:11" x14ac:dyDescent="0.35">
      <c r="B1262" t="s">
        <v>1258</v>
      </c>
      <c r="C1262">
        <v>35</v>
      </c>
      <c r="D1262">
        <v>0</v>
      </c>
      <c r="E1262">
        <v>0</v>
      </c>
      <c r="F1262">
        <v>2</v>
      </c>
      <c r="G1262">
        <v>1</v>
      </c>
      <c r="H1262">
        <v>2</v>
      </c>
      <c r="I1262">
        <v>8</v>
      </c>
      <c r="J1262">
        <v>23</v>
      </c>
      <c r="K1262">
        <f t="shared" si="21"/>
        <v>4</v>
      </c>
    </row>
    <row r="1263" spans="2:11" x14ac:dyDescent="0.35">
      <c r="B1263" t="s">
        <v>1259</v>
      </c>
      <c r="C1263">
        <v>22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1</v>
      </c>
      <c r="J1263">
        <v>22</v>
      </c>
      <c r="K1263">
        <f t="shared" si="21"/>
        <v>1</v>
      </c>
    </row>
    <row r="1264" spans="2:11" x14ac:dyDescent="0.35">
      <c r="B1264" t="s">
        <v>1260</v>
      </c>
      <c r="C1264">
        <v>32</v>
      </c>
      <c r="D1264">
        <v>0</v>
      </c>
      <c r="E1264">
        <v>0</v>
      </c>
      <c r="F1264">
        <v>0</v>
      </c>
      <c r="G1264">
        <v>16</v>
      </c>
      <c r="H1264">
        <v>6</v>
      </c>
      <c r="I1264">
        <v>5</v>
      </c>
      <c r="J1264">
        <v>6</v>
      </c>
      <c r="K1264">
        <f t="shared" si="21"/>
        <v>3</v>
      </c>
    </row>
    <row r="1265" spans="2:11" x14ac:dyDescent="0.35">
      <c r="B1265" t="s">
        <v>1261</v>
      </c>
      <c r="C1265">
        <v>62</v>
      </c>
      <c r="D1265">
        <v>1</v>
      </c>
      <c r="E1265">
        <v>1</v>
      </c>
      <c r="F1265">
        <v>0</v>
      </c>
      <c r="G1265">
        <v>1</v>
      </c>
      <c r="H1265">
        <v>23</v>
      </c>
      <c r="I1265">
        <v>8</v>
      </c>
      <c r="J1265">
        <v>29</v>
      </c>
      <c r="K1265">
        <f t="shared" si="21"/>
        <v>5</v>
      </c>
    </row>
    <row r="1266" spans="2:11" x14ac:dyDescent="0.35">
      <c r="B1266" t="s">
        <v>1262</v>
      </c>
      <c r="C1266">
        <v>11</v>
      </c>
      <c r="D1266">
        <v>1</v>
      </c>
      <c r="E1266">
        <v>1</v>
      </c>
      <c r="F1266">
        <v>0</v>
      </c>
      <c r="G1266">
        <v>1</v>
      </c>
      <c r="H1266">
        <v>0</v>
      </c>
      <c r="I1266">
        <v>2</v>
      </c>
      <c r="J1266">
        <v>7</v>
      </c>
      <c r="K1266">
        <f t="shared" si="21"/>
        <v>4</v>
      </c>
    </row>
    <row r="1267" spans="2:11" x14ac:dyDescent="0.35">
      <c r="B1267" t="s">
        <v>1263</v>
      </c>
      <c r="C1267">
        <v>32</v>
      </c>
      <c r="D1267">
        <v>1</v>
      </c>
      <c r="E1267">
        <v>0</v>
      </c>
      <c r="F1267">
        <v>0</v>
      </c>
      <c r="G1267">
        <v>0</v>
      </c>
      <c r="H1267">
        <v>5</v>
      </c>
      <c r="I1267">
        <v>11</v>
      </c>
      <c r="J1267">
        <v>16</v>
      </c>
      <c r="K1267">
        <f t="shared" si="21"/>
        <v>3</v>
      </c>
    </row>
    <row r="1268" spans="2:11" x14ac:dyDescent="0.35">
      <c r="B1268" t="s">
        <v>1264</v>
      </c>
      <c r="C1268">
        <v>33</v>
      </c>
      <c r="D1268">
        <v>1</v>
      </c>
      <c r="E1268">
        <v>0</v>
      </c>
      <c r="F1268">
        <v>15</v>
      </c>
      <c r="G1268">
        <v>2</v>
      </c>
      <c r="H1268">
        <v>0</v>
      </c>
      <c r="I1268">
        <v>5</v>
      </c>
      <c r="J1268">
        <v>11</v>
      </c>
      <c r="K1268">
        <f t="shared" si="21"/>
        <v>4</v>
      </c>
    </row>
    <row r="1269" spans="2:11" x14ac:dyDescent="0.35">
      <c r="B1269" t="s">
        <v>1265</v>
      </c>
      <c r="C1269">
        <v>27</v>
      </c>
      <c r="D1269">
        <v>1</v>
      </c>
      <c r="E1269">
        <v>0</v>
      </c>
      <c r="F1269">
        <v>0</v>
      </c>
      <c r="G1269">
        <v>0</v>
      </c>
      <c r="H1269">
        <v>8</v>
      </c>
      <c r="I1269">
        <v>13</v>
      </c>
      <c r="J1269">
        <v>6</v>
      </c>
      <c r="K1269">
        <f t="shared" si="21"/>
        <v>3</v>
      </c>
    </row>
    <row r="1270" spans="2:11" x14ac:dyDescent="0.35">
      <c r="B1270" t="s">
        <v>1266</v>
      </c>
      <c r="C1270">
        <v>49</v>
      </c>
      <c r="D1270">
        <v>3</v>
      </c>
      <c r="E1270">
        <v>0</v>
      </c>
      <c r="F1270">
        <v>0</v>
      </c>
      <c r="G1270">
        <v>3</v>
      </c>
      <c r="H1270">
        <v>9</v>
      </c>
      <c r="I1270">
        <v>19</v>
      </c>
      <c r="J1270">
        <v>16</v>
      </c>
      <c r="K1270">
        <f t="shared" si="21"/>
        <v>4</v>
      </c>
    </row>
    <row r="1271" spans="2:11" x14ac:dyDescent="0.35">
      <c r="B1271" t="s">
        <v>1267</v>
      </c>
      <c r="C1271">
        <v>64</v>
      </c>
      <c r="D1271">
        <v>7</v>
      </c>
      <c r="E1271">
        <v>0</v>
      </c>
      <c r="F1271">
        <v>0</v>
      </c>
      <c r="G1271">
        <v>8</v>
      </c>
      <c r="H1271">
        <v>12</v>
      </c>
      <c r="I1271">
        <v>22</v>
      </c>
      <c r="J1271">
        <v>16</v>
      </c>
      <c r="K1271">
        <f t="shared" si="21"/>
        <v>4</v>
      </c>
    </row>
    <row r="1272" spans="2:11" x14ac:dyDescent="0.35">
      <c r="B1272" t="s">
        <v>1268</v>
      </c>
      <c r="C1272">
        <v>24</v>
      </c>
      <c r="D1272">
        <v>2</v>
      </c>
      <c r="E1272">
        <v>1</v>
      </c>
      <c r="F1272">
        <v>1</v>
      </c>
      <c r="G1272">
        <v>1</v>
      </c>
      <c r="H1272">
        <v>1</v>
      </c>
      <c r="I1272">
        <v>10</v>
      </c>
      <c r="J1272">
        <v>9</v>
      </c>
      <c r="K1272">
        <f t="shared" si="21"/>
        <v>6</v>
      </c>
    </row>
    <row r="1273" spans="2:11" x14ac:dyDescent="0.35">
      <c r="B1273" t="s">
        <v>1269</v>
      </c>
      <c r="C1273">
        <v>60</v>
      </c>
      <c r="D1273">
        <v>7</v>
      </c>
      <c r="E1273">
        <v>1</v>
      </c>
      <c r="F1273">
        <v>0</v>
      </c>
      <c r="G1273">
        <v>4</v>
      </c>
      <c r="H1273">
        <v>5</v>
      </c>
      <c r="I1273">
        <v>20</v>
      </c>
      <c r="J1273">
        <v>24</v>
      </c>
      <c r="K1273">
        <f t="shared" si="21"/>
        <v>5</v>
      </c>
    </row>
    <row r="1274" spans="2:11" x14ac:dyDescent="0.35">
      <c r="B1274" t="s">
        <v>1270</v>
      </c>
      <c r="C1274">
        <v>74</v>
      </c>
      <c r="D1274">
        <v>3</v>
      </c>
      <c r="E1274">
        <v>0</v>
      </c>
      <c r="F1274">
        <v>0</v>
      </c>
      <c r="G1274">
        <v>2</v>
      </c>
      <c r="H1274">
        <v>9</v>
      </c>
      <c r="I1274">
        <v>17</v>
      </c>
      <c r="J1274">
        <v>44</v>
      </c>
      <c r="K1274">
        <f t="shared" si="21"/>
        <v>4</v>
      </c>
    </row>
    <row r="1275" spans="2:11" x14ac:dyDescent="0.35">
      <c r="B1275" t="s">
        <v>1271</v>
      </c>
      <c r="C1275">
        <v>23</v>
      </c>
      <c r="D1275">
        <v>0</v>
      </c>
      <c r="E1275">
        <v>0</v>
      </c>
      <c r="F1275">
        <v>0</v>
      </c>
      <c r="G1275">
        <v>6</v>
      </c>
      <c r="H1275">
        <v>6</v>
      </c>
      <c r="I1275">
        <v>3</v>
      </c>
      <c r="J1275">
        <v>9</v>
      </c>
      <c r="K1275">
        <f t="shared" si="21"/>
        <v>3</v>
      </c>
    </row>
    <row r="1276" spans="2:11" x14ac:dyDescent="0.35">
      <c r="B1276" t="s">
        <v>1272</v>
      </c>
      <c r="C1276">
        <v>15</v>
      </c>
      <c r="D1276">
        <v>2</v>
      </c>
      <c r="E1276">
        <v>0</v>
      </c>
      <c r="F1276">
        <v>0</v>
      </c>
      <c r="G1276">
        <v>0</v>
      </c>
      <c r="H1276">
        <v>1</v>
      </c>
      <c r="I1276">
        <v>9</v>
      </c>
      <c r="J1276">
        <v>4</v>
      </c>
      <c r="K1276">
        <f t="shared" si="21"/>
        <v>3</v>
      </c>
    </row>
    <row r="1277" spans="2:11" x14ac:dyDescent="0.35">
      <c r="B1277" t="s">
        <v>1273</v>
      </c>
      <c r="C1277">
        <v>6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3</v>
      </c>
      <c r="J1277">
        <v>4</v>
      </c>
      <c r="K1277">
        <f t="shared" si="21"/>
        <v>1</v>
      </c>
    </row>
    <row r="1278" spans="2:11" x14ac:dyDescent="0.35">
      <c r="B1278" t="s">
        <v>1274</v>
      </c>
      <c r="C1278">
        <v>10</v>
      </c>
      <c r="D1278">
        <v>2</v>
      </c>
      <c r="E1278">
        <v>0</v>
      </c>
      <c r="F1278">
        <v>0</v>
      </c>
      <c r="G1278">
        <v>0</v>
      </c>
      <c r="H1278">
        <v>0</v>
      </c>
      <c r="I1278">
        <v>4</v>
      </c>
      <c r="J1278">
        <v>5</v>
      </c>
      <c r="K1278">
        <f t="shared" si="21"/>
        <v>2</v>
      </c>
    </row>
    <row r="1279" spans="2:11" x14ac:dyDescent="0.35">
      <c r="B1279" t="s">
        <v>1275</v>
      </c>
      <c r="C1279">
        <v>12</v>
      </c>
      <c r="D1279">
        <v>4</v>
      </c>
      <c r="E1279">
        <v>0</v>
      </c>
      <c r="F1279">
        <v>0</v>
      </c>
      <c r="G1279">
        <v>0</v>
      </c>
      <c r="H1279">
        <v>0</v>
      </c>
      <c r="I1279">
        <v>7</v>
      </c>
      <c r="J1279">
        <v>2</v>
      </c>
      <c r="K1279">
        <f t="shared" si="21"/>
        <v>2</v>
      </c>
    </row>
    <row r="1280" spans="2:11" x14ac:dyDescent="0.35">
      <c r="B1280" t="s">
        <v>1276</v>
      </c>
      <c r="C1280">
        <v>137</v>
      </c>
      <c r="D1280">
        <v>10</v>
      </c>
      <c r="E1280">
        <v>0</v>
      </c>
      <c r="F1280">
        <v>1</v>
      </c>
      <c r="G1280">
        <v>32</v>
      </c>
      <c r="H1280">
        <v>16</v>
      </c>
      <c r="I1280">
        <v>36</v>
      </c>
      <c r="J1280">
        <v>43</v>
      </c>
      <c r="K1280">
        <f t="shared" si="21"/>
        <v>5</v>
      </c>
    </row>
    <row r="1281" spans="2:11" x14ac:dyDescent="0.35">
      <c r="B1281" t="s">
        <v>1277</v>
      </c>
      <c r="C1281">
        <v>105</v>
      </c>
      <c r="D1281">
        <v>7</v>
      </c>
      <c r="E1281">
        <v>0</v>
      </c>
      <c r="F1281">
        <v>1</v>
      </c>
      <c r="G1281">
        <v>23</v>
      </c>
      <c r="H1281">
        <v>19</v>
      </c>
      <c r="I1281">
        <v>17</v>
      </c>
      <c r="J1281">
        <v>39</v>
      </c>
      <c r="K1281">
        <f t="shared" si="21"/>
        <v>5</v>
      </c>
    </row>
    <row r="1282" spans="2:11" x14ac:dyDescent="0.35">
      <c r="B1282" t="s">
        <v>1278</v>
      </c>
      <c r="C1282">
        <v>18</v>
      </c>
      <c r="D1282">
        <v>0</v>
      </c>
      <c r="E1282">
        <v>0</v>
      </c>
      <c r="F1282">
        <v>0</v>
      </c>
      <c r="G1282">
        <v>1</v>
      </c>
      <c r="H1282">
        <v>4</v>
      </c>
      <c r="I1282">
        <v>5</v>
      </c>
      <c r="J1282">
        <v>9</v>
      </c>
      <c r="K1282">
        <f t="shared" si="21"/>
        <v>3</v>
      </c>
    </row>
    <row r="1283" spans="2:11" x14ac:dyDescent="0.35">
      <c r="B1283" t="s">
        <v>1279</v>
      </c>
      <c r="C1283">
        <v>23</v>
      </c>
      <c r="D1283">
        <v>2</v>
      </c>
      <c r="E1283">
        <v>0</v>
      </c>
      <c r="F1283">
        <v>0</v>
      </c>
      <c r="G1283">
        <v>0</v>
      </c>
      <c r="H1283">
        <v>1</v>
      </c>
      <c r="I1283">
        <v>11</v>
      </c>
      <c r="J1283">
        <v>10</v>
      </c>
      <c r="K1283">
        <f t="shared" si="21"/>
        <v>3</v>
      </c>
    </row>
    <row r="1284" spans="2:11" x14ac:dyDescent="0.35">
      <c r="B1284" t="s">
        <v>1280</v>
      </c>
      <c r="C1284">
        <v>15</v>
      </c>
      <c r="D1284">
        <v>2</v>
      </c>
      <c r="E1284">
        <v>0</v>
      </c>
      <c r="F1284">
        <v>0</v>
      </c>
      <c r="G1284">
        <v>0</v>
      </c>
      <c r="H1284">
        <v>0</v>
      </c>
      <c r="I1284">
        <v>8</v>
      </c>
      <c r="J1284">
        <v>6</v>
      </c>
      <c r="K1284">
        <f t="shared" si="21"/>
        <v>2</v>
      </c>
    </row>
    <row r="1285" spans="2:11" x14ac:dyDescent="0.35">
      <c r="B1285" t="s">
        <v>1281</v>
      </c>
      <c r="C1285">
        <v>17</v>
      </c>
      <c r="D1285">
        <v>1</v>
      </c>
      <c r="E1285">
        <v>1</v>
      </c>
      <c r="F1285">
        <v>0</v>
      </c>
      <c r="G1285">
        <v>1</v>
      </c>
      <c r="H1285">
        <v>0</v>
      </c>
      <c r="I1285">
        <v>3</v>
      </c>
      <c r="J1285">
        <v>12</v>
      </c>
      <c r="K1285">
        <f t="shared" si="21"/>
        <v>4</v>
      </c>
    </row>
    <row r="1286" spans="2:11" x14ac:dyDescent="0.35">
      <c r="B1286" t="s">
        <v>1282</v>
      </c>
      <c r="C1286">
        <v>17</v>
      </c>
      <c r="D1286">
        <v>1</v>
      </c>
      <c r="E1286">
        <v>1</v>
      </c>
      <c r="F1286">
        <v>0</v>
      </c>
      <c r="G1286">
        <v>1</v>
      </c>
      <c r="H1286">
        <v>0</v>
      </c>
      <c r="I1286">
        <v>3</v>
      </c>
      <c r="J1286">
        <v>12</v>
      </c>
      <c r="K1286">
        <f t="shared" si="21"/>
        <v>4</v>
      </c>
    </row>
    <row r="1287" spans="2:11" x14ac:dyDescent="0.35">
      <c r="B1287" t="s">
        <v>1283</v>
      </c>
      <c r="C1287">
        <v>20</v>
      </c>
      <c r="D1287">
        <v>1</v>
      </c>
      <c r="E1287">
        <v>1</v>
      </c>
      <c r="F1287">
        <v>0</v>
      </c>
      <c r="G1287">
        <v>4</v>
      </c>
      <c r="H1287">
        <v>0</v>
      </c>
      <c r="I1287">
        <v>3</v>
      </c>
      <c r="J1287">
        <v>12</v>
      </c>
      <c r="K1287">
        <f t="shared" si="21"/>
        <v>4</v>
      </c>
    </row>
    <row r="1288" spans="2:11" x14ac:dyDescent="0.35">
      <c r="B1288" t="s">
        <v>1284</v>
      </c>
      <c r="C1288">
        <v>19</v>
      </c>
      <c r="D1288">
        <v>0</v>
      </c>
      <c r="E1288">
        <v>0</v>
      </c>
      <c r="F1288">
        <v>0</v>
      </c>
      <c r="G1288">
        <v>1</v>
      </c>
      <c r="H1288">
        <v>1</v>
      </c>
      <c r="I1288">
        <v>9</v>
      </c>
      <c r="J1288">
        <v>9</v>
      </c>
      <c r="K1288">
        <f t="shared" si="21"/>
        <v>3</v>
      </c>
    </row>
    <row r="1289" spans="2:11" x14ac:dyDescent="0.35">
      <c r="B1289" t="s">
        <v>1285</v>
      </c>
      <c r="C1289">
        <v>71</v>
      </c>
      <c r="D1289">
        <v>1</v>
      </c>
      <c r="E1289">
        <v>0</v>
      </c>
      <c r="F1289">
        <v>4</v>
      </c>
      <c r="G1289">
        <v>10</v>
      </c>
      <c r="H1289">
        <v>3</v>
      </c>
      <c r="I1289">
        <v>28</v>
      </c>
      <c r="J1289">
        <v>26</v>
      </c>
      <c r="K1289">
        <f t="shared" si="21"/>
        <v>5</v>
      </c>
    </row>
    <row r="1290" spans="2:11" x14ac:dyDescent="0.35">
      <c r="B1290" t="s">
        <v>1286</v>
      </c>
      <c r="C1290">
        <v>25</v>
      </c>
      <c r="D1290">
        <v>2</v>
      </c>
      <c r="E1290">
        <v>0</v>
      </c>
      <c r="F1290">
        <v>0</v>
      </c>
      <c r="G1290">
        <v>0</v>
      </c>
      <c r="H1290">
        <v>2</v>
      </c>
      <c r="I1290">
        <v>8</v>
      </c>
      <c r="J1290">
        <v>14</v>
      </c>
      <c r="K1290">
        <f t="shared" si="21"/>
        <v>3</v>
      </c>
    </row>
    <row r="1291" spans="2:11" x14ac:dyDescent="0.35">
      <c r="B1291" t="s">
        <v>1287</v>
      </c>
      <c r="C1291">
        <v>48</v>
      </c>
      <c r="D1291">
        <v>7</v>
      </c>
      <c r="E1291">
        <v>1</v>
      </c>
      <c r="F1291">
        <v>0</v>
      </c>
      <c r="G1291">
        <v>11</v>
      </c>
      <c r="H1291">
        <v>2</v>
      </c>
      <c r="I1291">
        <v>14</v>
      </c>
      <c r="J1291">
        <v>14</v>
      </c>
      <c r="K1291">
        <f t="shared" si="21"/>
        <v>5</v>
      </c>
    </row>
    <row r="1292" spans="2:11" x14ac:dyDescent="0.35">
      <c r="B1292" t="s">
        <v>1288</v>
      </c>
      <c r="C1292">
        <v>37</v>
      </c>
      <c r="D1292">
        <v>1</v>
      </c>
      <c r="E1292">
        <v>0</v>
      </c>
      <c r="F1292">
        <v>1</v>
      </c>
      <c r="G1292">
        <v>1</v>
      </c>
      <c r="H1292">
        <v>1</v>
      </c>
      <c r="I1292">
        <v>6</v>
      </c>
      <c r="J1292">
        <v>28</v>
      </c>
      <c r="K1292">
        <f t="shared" ref="K1292:K1355" si="22">COUNTIF(D1292:I1292, "&gt;0")</f>
        <v>5</v>
      </c>
    </row>
    <row r="1293" spans="2:11" x14ac:dyDescent="0.35">
      <c r="B1293" t="s">
        <v>1289</v>
      </c>
      <c r="C1293">
        <v>31</v>
      </c>
      <c r="D1293">
        <v>1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30</v>
      </c>
      <c r="K1293">
        <f t="shared" si="22"/>
        <v>2</v>
      </c>
    </row>
    <row r="1294" spans="2:11" x14ac:dyDescent="0.35">
      <c r="B1294" t="s">
        <v>1290</v>
      </c>
      <c r="C1294">
        <v>35</v>
      </c>
      <c r="D1294">
        <v>1</v>
      </c>
      <c r="E1294">
        <v>0</v>
      </c>
      <c r="F1294">
        <v>0</v>
      </c>
      <c r="G1294">
        <v>13</v>
      </c>
      <c r="H1294">
        <v>6</v>
      </c>
      <c r="I1294">
        <v>10</v>
      </c>
      <c r="J1294">
        <v>6</v>
      </c>
      <c r="K1294">
        <f t="shared" si="22"/>
        <v>4</v>
      </c>
    </row>
    <row r="1295" spans="2:11" x14ac:dyDescent="0.35">
      <c r="B1295" t="s">
        <v>1291</v>
      </c>
      <c r="C1295">
        <v>40</v>
      </c>
      <c r="D1295">
        <v>0</v>
      </c>
      <c r="E1295">
        <v>1</v>
      </c>
      <c r="F1295">
        <v>0</v>
      </c>
      <c r="G1295">
        <v>3</v>
      </c>
      <c r="H1295">
        <v>5</v>
      </c>
      <c r="I1295">
        <v>15</v>
      </c>
      <c r="J1295">
        <v>17</v>
      </c>
      <c r="K1295">
        <f t="shared" si="22"/>
        <v>4</v>
      </c>
    </row>
    <row r="1296" spans="2:11" x14ac:dyDescent="0.35">
      <c r="B1296" t="s">
        <v>1292</v>
      </c>
      <c r="C1296">
        <v>9</v>
      </c>
      <c r="D1296">
        <v>0</v>
      </c>
      <c r="E1296">
        <v>0</v>
      </c>
      <c r="F1296">
        <v>0</v>
      </c>
      <c r="G1296">
        <v>1</v>
      </c>
      <c r="H1296">
        <v>1</v>
      </c>
      <c r="I1296">
        <v>3</v>
      </c>
      <c r="J1296">
        <v>5</v>
      </c>
      <c r="K1296">
        <f t="shared" si="22"/>
        <v>3</v>
      </c>
    </row>
    <row r="1297" spans="2:11" x14ac:dyDescent="0.35">
      <c r="B1297" t="s">
        <v>1293</v>
      </c>
      <c r="C1297">
        <v>8</v>
      </c>
      <c r="D1297">
        <v>3</v>
      </c>
      <c r="E1297">
        <v>0</v>
      </c>
      <c r="F1297">
        <v>0</v>
      </c>
      <c r="G1297">
        <v>0</v>
      </c>
      <c r="H1297">
        <v>2</v>
      </c>
      <c r="I1297">
        <v>2</v>
      </c>
      <c r="J1297">
        <v>2</v>
      </c>
      <c r="K1297">
        <f t="shared" si="22"/>
        <v>3</v>
      </c>
    </row>
    <row r="1298" spans="2:11" x14ac:dyDescent="0.35">
      <c r="B1298" t="s">
        <v>1294</v>
      </c>
      <c r="C1298">
        <v>11</v>
      </c>
      <c r="D1298">
        <v>1</v>
      </c>
      <c r="E1298">
        <v>0</v>
      </c>
      <c r="F1298">
        <v>1</v>
      </c>
      <c r="G1298">
        <v>0</v>
      </c>
      <c r="H1298">
        <v>3</v>
      </c>
      <c r="I1298">
        <v>3</v>
      </c>
      <c r="J1298">
        <v>4</v>
      </c>
      <c r="K1298">
        <f t="shared" si="22"/>
        <v>4</v>
      </c>
    </row>
    <row r="1299" spans="2:11" x14ac:dyDescent="0.35">
      <c r="B1299" t="s">
        <v>1295</v>
      </c>
      <c r="C1299">
        <v>23</v>
      </c>
      <c r="D1299">
        <v>2</v>
      </c>
      <c r="E1299">
        <v>0</v>
      </c>
      <c r="F1299">
        <v>0</v>
      </c>
      <c r="G1299">
        <v>4</v>
      </c>
      <c r="H1299">
        <v>1</v>
      </c>
      <c r="I1299">
        <v>15</v>
      </c>
      <c r="J1299">
        <v>2</v>
      </c>
      <c r="K1299">
        <f t="shared" si="22"/>
        <v>4</v>
      </c>
    </row>
    <row r="1300" spans="2:11" x14ac:dyDescent="0.35">
      <c r="B1300" t="s">
        <v>1296</v>
      </c>
      <c r="C1300">
        <v>67</v>
      </c>
      <c r="D1300">
        <v>2</v>
      </c>
      <c r="E1300">
        <v>0</v>
      </c>
      <c r="F1300">
        <v>0</v>
      </c>
      <c r="G1300">
        <v>5</v>
      </c>
      <c r="H1300">
        <v>14</v>
      </c>
      <c r="I1300">
        <v>15</v>
      </c>
      <c r="J1300">
        <v>32</v>
      </c>
      <c r="K1300">
        <f t="shared" si="22"/>
        <v>4</v>
      </c>
    </row>
    <row r="1301" spans="2:11" x14ac:dyDescent="0.35">
      <c r="B1301" t="s">
        <v>1297</v>
      </c>
      <c r="C1301">
        <v>7</v>
      </c>
      <c r="D1301">
        <v>1</v>
      </c>
      <c r="E1301">
        <v>0</v>
      </c>
      <c r="F1301">
        <v>0</v>
      </c>
      <c r="G1301">
        <v>0</v>
      </c>
      <c r="H1301">
        <v>2</v>
      </c>
      <c r="I1301">
        <v>3</v>
      </c>
      <c r="J1301">
        <v>2</v>
      </c>
      <c r="K1301">
        <f t="shared" si="22"/>
        <v>3</v>
      </c>
    </row>
    <row r="1302" spans="2:11" x14ac:dyDescent="0.35">
      <c r="B1302" t="s">
        <v>1298</v>
      </c>
      <c r="C1302">
        <v>9</v>
      </c>
      <c r="D1302">
        <v>1</v>
      </c>
      <c r="E1302">
        <v>0</v>
      </c>
      <c r="F1302">
        <v>1</v>
      </c>
      <c r="G1302">
        <v>0</v>
      </c>
      <c r="H1302">
        <v>0</v>
      </c>
      <c r="I1302">
        <v>4</v>
      </c>
      <c r="J1302">
        <v>4</v>
      </c>
      <c r="K1302">
        <f t="shared" si="22"/>
        <v>3</v>
      </c>
    </row>
    <row r="1303" spans="2:11" x14ac:dyDescent="0.35">
      <c r="B1303" t="s">
        <v>1299</v>
      </c>
      <c r="C1303">
        <v>26</v>
      </c>
      <c r="D1303">
        <v>3</v>
      </c>
      <c r="E1303">
        <v>0</v>
      </c>
      <c r="F1303">
        <v>0</v>
      </c>
      <c r="G1303">
        <v>0</v>
      </c>
      <c r="H1303">
        <v>0</v>
      </c>
      <c r="I1303">
        <v>11</v>
      </c>
      <c r="J1303">
        <v>13</v>
      </c>
      <c r="K1303">
        <f t="shared" si="22"/>
        <v>2</v>
      </c>
    </row>
    <row r="1304" spans="2:11" x14ac:dyDescent="0.35">
      <c r="B1304" t="s">
        <v>1300</v>
      </c>
      <c r="C1304">
        <v>2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1</v>
      </c>
      <c r="J1304">
        <v>2</v>
      </c>
      <c r="K1304">
        <f t="shared" si="22"/>
        <v>1</v>
      </c>
    </row>
    <row r="1305" spans="2:11" x14ac:dyDescent="0.35">
      <c r="B1305" t="s">
        <v>1301</v>
      </c>
      <c r="C1305">
        <v>18</v>
      </c>
      <c r="D1305">
        <v>3</v>
      </c>
      <c r="E1305">
        <v>0</v>
      </c>
      <c r="F1305">
        <v>2</v>
      </c>
      <c r="G1305">
        <v>1</v>
      </c>
      <c r="H1305">
        <v>0</v>
      </c>
      <c r="I1305">
        <v>4</v>
      </c>
      <c r="J1305">
        <v>9</v>
      </c>
      <c r="K1305">
        <f t="shared" si="22"/>
        <v>4</v>
      </c>
    </row>
    <row r="1306" spans="2:11" x14ac:dyDescent="0.35">
      <c r="B1306" t="s">
        <v>1302</v>
      </c>
      <c r="C1306">
        <v>19</v>
      </c>
      <c r="D1306">
        <v>0</v>
      </c>
      <c r="E1306">
        <v>0</v>
      </c>
      <c r="F1306">
        <v>0</v>
      </c>
      <c r="G1306">
        <v>0</v>
      </c>
      <c r="H1306">
        <v>1</v>
      </c>
      <c r="I1306">
        <v>13</v>
      </c>
      <c r="J1306">
        <v>6</v>
      </c>
      <c r="K1306">
        <f t="shared" si="22"/>
        <v>2</v>
      </c>
    </row>
    <row r="1307" spans="2:11" x14ac:dyDescent="0.35">
      <c r="B1307" t="s">
        <v>1303</v>
      </c>
      <c r="C1307">
        <v>19</v>
      </c>
      <c r="D1307">
        <v>0</v>
      </c>
      <c r="E1307">
        <v>0</v>
      </c>
      <c r="F1307">
        <v>0</v>
      </c>
      <c r="G1307">
        <v>0</v>
      </c>
      <c r="H1307">
        <v>2</v>
      </c>
      <c r="I1307">
        <v>7</v>
      </c>
      <c r="J1307">
        <v>11</v>
      </c>
      <c r="K1307">
        <f t="shared" si="22"/>
        <v>2</v>
      </c>
    </row>
    <row r="1308" spans="2:11" x14ac:dyDescent="0.35">
      <c r="B1308" t="s">
        <v>1304</v>
      </c>
      <c r="C1308">
        <v>35</v>
      </c>
      <c r="D1308">
        <v>1</v>
      </c>
      <c r="E1308">
        <v>0</v>
      </c>
      <c r="F1308">
        <v>1</v>
      </c>
      <c r="G1308">
        <v>0</v>
      </c>
      <c r="H1308">
        <v>3</v>
      </c>
      <c r="I1308">
        <v>13</v>
      </c>
      <c r="J1308">
        <v>18</v>
      </c>
      <c r="K1308">
        <f t="shared" si="22"/>
        <v>4</v>
      </c>
    </row>
    <row r="1309" spans="2:11" x14ac:dyDescent="0.35">
      <c r="B1309" t="s">
        <v>1305</v>
      </c>
      <c r="C1309">
        <v>8</v>
      </c>
      <c r="D1309">
        <v>1</v>
      </c>
      <c r="E1309">
        <v>1</v>
      </c>
      <c r="F1309">
        <v>0</v>
      </c>
      <c r="G1309">
        <v>0</v>
      </c>
      <c r="H1309">
        <v>1</v>
      </c>
      <c r="I1309">
        <v>2</v>
      </c>
      <c r="J1309">
        <v>4</v>
      </c>
      <c r="K1309">
        <f t="shared" si="22"/>
        <v>4</v>
      </c>
    </row>
    <row r="1310" spans="2:11" x14ac:dyDescent="0.35">
      <c r="B1310" t="s">
        <v>1306</v>
      </c>
      <c r="C1310">
        <v>13</v>
      </c>
      <c r="D1310">
        <v>2</v>
      </c>
      <c r="E1310">
        <v>0</v>
      </c>
      <c r="F1310">
        <v>0</v>
      </c>
      <c r="G1310">
        <v>1</v>
      </c>
      <c r="H1310">
        <v>2</v>
      </c>
      <c r="I1310">
        <v>7</v>
      </c>
      <c r="J1310">
        <v>2</v>
      </c>
      <c r="K1310">
        <f t="shared" si="22"/>
        <v>4</v>
      </c>
    </row>
    <row r="1311" spans="2:11" x14ac:dyDescent="0.35">
      <c r="B1311" t="s">
        <v>1307</v>
      </c>
      <c r="C1311">
        <v>33</v>
      </c>
      <c r="D1311">
        <v>2</v>
      </c>
      <c r="E1311">
        <v>0</v>
      </c>
      <c r="F1311">
        <v>0</v>
      </c>
      <c r="G1311">
        <v>1</v>
      </c>
      <c r="H1311">
        <v>5</v>
      </c>
      <c r="I1311">
        <v>10</v>
      </c>
      <c r="J1311">
        <v>16</v>
      </c>
      <c r="K1311">
        <f t="shared" si="22"/>
        <v>4</v>
      </c>
    </row>
    <row r="1312" spans="2:11" x14ac:dyDescent="0.35">
      <c r="B1312" t="s">
        <v>1308</v>
      </c>
      <c r="C1312">
        <v>9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10</v>
      </c>
      <c r="K1312">
        <f t="shared" si="22"/>
        <v>0</v>
      </c>
    </row>
    <row r="1313" spans="2:11" x14ac:dyDescent="0.35">
      <c r="B1313" t="s">
        <v>1309</v>
      </c>
      <c r="C1313">
        <v>18</v>
      </c>
      <c r="D1313">
        <v>0</v>
      </c>
      <c r="E1313">
        <v>0</v>
      </c>
      <c r="F1313">
        <v>0</v>
      </c>
      <c r="G1313">
        <v>0</v>
      </c>
      <c r="H1313">
        <v>5</v>
      </c>
      <c r="I1313">
        <v>9</v>
      </c>
      <c r="J1313">
        <v>5</v>
      </c>
      <c r="K1313">
        <f t="shared" si="22"/>
        <v>2</v>
      </c>
    </row>
    <row r="1314" spans="2:11" x14ac:dyDescent="0.35">
      <c r="B1314" t="s">
        <v>1310</v>
      </c>
      <c r="C1314">
        <v>26</v>
      </c>
      <c r="D1314">
        <v>2</v>
      </c>
      <c r="E1314">
        <v>0</v>
      </c>
      <c r="F1314">
        <v>0</v>
      </c>
      <c r="G1314">
        <v>2</v>
      </c>
      <c r="H1314">
        <v>3</v>
      </c>
      <c r="I1314">
        <v>9</v>
      </c>
      <c r="J1314">
        <v>11</v>
      </c>
      <c r="K1314">
        <f t="shared" si="22"/>
        <v>4</v>
      </c>
    </row>
    <row r="1315" spans="2:11" x14ac:dyDescent="0.35">
      <c r="B1315" t="s">
        <v>1311</v>
      </c>
      <c r="C1315">
        <v>15</v>
      </c>
      <c r="D1315">
        <v>1</v>
      </c>
      <c r="E1315">
        <v>0</v>
      </c>
      <c r="F1315">
        <v>0</v>
      </c>
      <c r="G1315">
        <v>0</v>
      </c>
      <c r="H1315">
        <v>1</v>
      </c>
      <c r="I1315">
        <v>7</v>
      </c>
      <c r="J1315">
        <v>7</v>
      </c>
      <c r="K1315">
        <f t="shared" si="22"/>
        <v>3</v>
      </c>
    </row>
    <row r="1316" spans="2:11" x14ac:dyDescent="0.35">
      <c r="B1316" t="s">
        <v>1312</v>
      </c>
      <c r="C1316">
        <v>13</v>
      </c>
      <c r="D1316">
        <v>2</v>
      </c>
      <c r="E1316">
        <v>0</v>
      </c>
      <c r="F1316">
        <v>0</v>
      </c>
      <c r="G1316">
        <v>0</v>
      </c>
      <c r="H1316">
        <v>2</v>
      </c>
      <c r="I1316">
        <v>1</v>
      </c>
      <c r="J1316">
        <v>9</v>
      </c>
      <c r="K1316">
        <f t="shared" si="22"/>
        <v>3</v>
      </c>
    </row>
    <row r="1317" spans="2:11" x14ac:dyDescent="0.35">
      <c r="B1317" t="s">
        <v>1313</v>
      </c>
      <c r="C1317">
        <v>23</v>
      </c>
      <c r="D1317">
        <v>4</v>
      </c>
      <c r="E1317">
        <v>0</v>
      </c>
      <c r="F1317">
        <v>1</v>
      </c>
      <c r="G1317">
        <v>0</v>
      </c>
      <c r="H1317">
        <v>0</v>
      </c>
      <c r="I1317">
        <v>7</v>
      </c>
      <c r="J1317">
        <v>12</v>
      </c>
      <c r="K1317">
        <f t="shared" si="22"/>
        <v>3</v>
      </c>
    </row>
    <row r="1318" spans="2:11" x14ac:dyDescent="0.35">
      <c r="B1318" t="s">
        <v>1314</v>
      </c>
      <c r="C1318">
        <v>9</v>
      </c>
      <c r="D1318">
        <v>2</v>
      </c>
      <c r="E1318">
        <v>0</v>
      </c>
      <c r="F1318">
        <v>0</v>
      </c>
      <c r="G1318">
        <v>0</v>
      </c>
      <c r="H1318">
        <v>4</v>
      </c>
      <c r="I1318">
        <v>2</v>
      </c>
      <c r="J1318">
        <v>2</v>
      </c>
      <c r="K1318">
        <f t="shared" si="22"/>
        <v>3</v>
      </c>
    </row>
    <row r="1319" spans="2:11" x14ac:dyDescent="0.35">
      <c r="B1319" t="s">
        <v>1315</v>
      </c>
      <c r="C1319">
        <v>60</v>
      </c>
      <c r="D1319">
        <v>2</v>
      </c>
      <c r="E1319">
        <v>0</v>
      </c>
      <c r="F1319">
        <v>0</v>
      </c>
      <c r="G1319">
        <v>7</v>
      </c>
      <c r="H1319">
        <v>6</v>
      </c>
      <c r="I1319">
        <v>19</v>
      </c>
      <c r="J1319">
        <v>27</v>
      </c>
      <c r="K1319">
        <f t="shared" si="22"/>
        <v>4</v>
      </c>
    </row>
    <row r="1320" spans="2:11" x14ac:dyDescent="0.35">
      <c r="B1320" t="s">
        <v>1316</v>
      </c>
      <c r="C1320">
        <v>26</v>
      </c>
      <c r="D1320">
        <v>5</v>
      </c>
      <c r="E1320">
        <v>1</v>
      </c>
      <c r="F1320">
        <v>0</v>
      </c>
      <c r="G1320">
        <v>4</v>
      </c>
      <c r="H1320">
        <v>1</v>
      </c>
      <c r="I1320">
        <v>6</v>
      </c>
      <c r="J1320">
        <v>10</v>
      </c>
      <c r="K1320">
        <f t="shared" si="22"/>
        <v>5</v>
      </c>
    </row>
    <row r="1321" spans="2:11" x14ac:dyDescent="0.35">
      <c r="B1321" t="s">
        <v>1317</v>
      </c>
      <c r="C1321">
        <v>31</v>
      </c>
      <c r="D1321">
        <v>0</v>
      </c>
      <c r="E1321">
        <v>0</v>
      </c>
      <c r="F1321">
        <v>0</v>
      </c>
      <c r="G1321">
        <v>0</v>
      </c>
      <c r="H1321">
        <v>18</v>
      </c>
      <c r="I1321">
        <v>8</v>
      </c>
      <c r="J1321">
        <v>6</v>
      </c>
      <c r="K1321">
        <f t="shared" si="22"/>
        <v>2</v>
      </c>
    </row>
    <row r="1322" spans="2:11" x14ac:dyDescent="0.35">
      <c r="B1322" t="s">
        <v>1318</v>
      </c>
      <c r="C1322">
        <v>17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6</v>
      </c>
      <c r="J1322">
        <v>12</v>
      </c>
      <c r="K1322">
        <f t="shared" si="22"/>
        <v>1</v>
      </c>
    </row>
    <row r="1323" spans="2:11" x14ac:dyDescent="0.35">
      <c r="B1323" t="s">
        <v>1319</v>
      </c>
      <c r="C1323">
        <v>49</v>
      </c>
      <c r="D1323">
        <v>4</v>
      </c>
      <c r="E1323">
        <v>0</v>
      </c>
      <c r="F1323">
        <v>1</v>
      </c>
      <c r="G1323">
        <v>10</v>
      </c>
      <c r="H1323">
        <v>5</v>
      </c>
      <c r="I1323">
        <v>22</v>
      </c>
      <c r="J1323">
        <v>8</v>
      </c>
      <c r="K1323">
        <f t="shared" si="22"/>
        <v>5</v>
      </c>
    </row>
    <row r="1324" spans="2:11" x14ac:dyDescent="0.35">
      <c r="B1324" t="s">
        <v>1320</v>
      </c>
      <c r="C1324">
        <v>39</v>
      </c>
      <c r="D1324">
        <v>1</v>
      </c>
      <c r="E1324">
        <v>0</v>
      </c>
      <c r="F1324">
        <v>0</v>
      </c>
      <c r="G1324">
        <v>2</v>
      </c>
      <c r="H1324">
        <v>1</v>
      </c>
      <c r="I1324">
        <v>10</v>
      </c>
      <c r="J1324">
        <v>26</v>
      </c>
      <c r="K1324">
        <f t="shared" si="22"/>
        <v>4</v>
      </c>
    </row>
    <row r="1325" spans="2:11" x14ac:dyDescent="0.35">
      <c r="B1325" t="s">
        <v>1321</v>
      </c>
      <c r="C1325">
        <v>2</v>
      </c>
      <c r="D1325">
        <v>0</v>
      </c>
      <c r="E1325">
        <v>0</v>
      </c>
      <c r="F1325">
        <v>0</v>
      </c>
      <c r="G1325">
        <v>1</v>
      </c>
      <c r="H1325">
        <v>0</v>
      </c>
      <c r="I1325">
        <v>1</v>
      </c>
      <c r="J1325">
        <v>1</v>
      </c>
      <c r="K1325">
        <f t="shared" si="22"/>
        <v>2</v>
      </c>
    </row>
    <row r="1326" spans="2:11" x14ac:dyDescent="0.35">
      <c r="B1326" t="s">
        <v>1322</v>
      </c>
      <c r="C1326">
        <v>6</v>
      </c>
      <c r="D1326">
        <v>1</v>
      </c>
      <c r="E1326">
        <v>0</v>
      </c>
      <c r="F1326">
        <v>0</v>
      </c>
      <c r="G1326">
        <v>0</v>
      </c>
      <c r="H1326">
        <v>0</v>
      </c>
      <c r="I1326">
        <v>1</v>
      </c>
      <c r="J1326">
        <v>5</v>
      </c>
      <c r="K1326">
        <f t="shared" si="22"/>
        <v>2</v>
      </c>
    </row>
    <row r="1327" spans="2:11" x14ac:dyDescent="0.35">
      <c r="B1327" t="s">
        <v>1323</v>
      </c>
      <c r="C1327">
        <v>44</v>
      </c>
      <c r="D1327">
        <v>7</v>
      </c>
      <c r="E1327">
        <v>0</v>
      </c>
      <c r="F1327">
        <v>0</v>
      </c>
      <c r="G1327">
        <v>0</v>
      </c>
      <c r="H1327">
        <v>1</v>
      </c>
      <c r="I1327">
        <v>17</v>
      </c>
      <c r="J1327">
        <v>20</v>
      </c>
      <c r="K1327">
        <f t="shared" si="22"/>
        <v>3</v>
      </c>
    </row>
    <row r="1328" spans="2:11" x14ac:dyDescent="0.35">
      <c r="B1328" t="s">
        <v>1324</v>
      </c>
      <c r="C1328">
        <v>10</v>
      </c>
      <c r="D1328">
        <v>0</v>
      </c>
      <c r="E1328">
        <v>0</v>
      </c>
      <c r="F1328">
        <v>0</v>
      </c>
      <c r="G1328">
        <v>0</v>
      </c>
      <c r="H1328">
        <v>1</v>
      </c>
      <c r="I1328">
        <v>6</v>
      </c>
      <c r="J1328">
        <v>4</v>
      </c>
      <c r="K1328">
        <f t="shared" si="22"/>
        <v>2</v>
      </c>
    </row>
    <row r="1329" spans="2:11" x14ac:dyDescent="0.35">
      <c r="B1329" t="s">
        <v>1325</v>
      </c>
      <c r="C1329">
        <v>103</v>
      </c>
      <c r="D1329">
        <v>4</v>
      </c>
      <c r="E1329">
        <v>0</v>
      </c>
      <c r="F1329">
        <v>1</v>
      </c>
      <c r="G1329">
        <v>26</v>
      </c>
      <c r="H1329">
        <v>19</v>
      </c>
      <c r="I1329">
        <v>24</v>
      </c>
      <c r="J1329">
        <v>30</v>
      </c>
      <c r="K1329">
        <f t="shared" si="22"/>
        <v>5</v>
      </c>
    </row>
    <row r="1330" spans="2:11" x14ac:dyDescent="0.35">
      <c r="B1330" t="s">
        <v>1326</v>
      </c>
      <c r="C1330">
        <v>23</v>
      </c>
      <c r="D1330">
        <v>0</v>
      </c>
      <c r="E1330">
        <v>0</v>
      </c>
      <c r="F1330">
        <v>0</v>
      </c>
      <c r="G1330">
        <v>0</v>
      </c>
      <c r="H1330">
        <v>4</v>
      </c>
      <c r="I1330">
        <v>9</v>
      </c>
      <c r="J1330">
        <v>11</v>
      </c>
      <c r="K1330">
        <f t="shared" si="22"/>
        <v>2</v>
      </c>
    </row>
    <row r="1331" spans="2:11" x14ac:dyDescent="0.35">
      <c r="B1331" t="s">
        <v>1327</v>
      </c>
      <c r="C1331">
        <v>6</v>
      </c>
      <c r="D1331">
        <v>1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f t="shared" si="22"/>
        <v>1</v>
      </c>
    </row>
    <row r="1332" spans="2:11" x14ac:dyDescent="0.35">
      <c r="B1332" t="s">
        <v>1328</v>
      </c>
      <c r="C1332">
        <v>11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1</v>
      </c>
      <c r="J1332">
        <v>11</v>
      </c>
      <c r="K1332">
        <f t="shared" si="22"/>
        <v>1</v>
      </c>
    </row>
    <row r="1333" spans="2:11" x14ac:dyDescent="0.35">
      <c r="B1333" t="s">
        <v>1329</v>
      </c>
      <c r="C1333">
        <v>26</v>
      </c>
      <c r="D1333">
        <v>1</v>
      </c>
      <c r="E1333">
        <v>1</v>
      </c>
      <c r="F1333">
        <v>0</v>
      </c>
      <c r="G1333">
        <v>6</v>
      </c>
      <c r="H1333">
        <v>4</v>
      </c>
      <c r="I1333">
        <v>11</v>
      </c>
      <c r="J1333">
        <v>4</v>
      </c>
      <c r="K1333">
        <f t="shared" si="22"/>
        <v>5</v>
      </c>
    </row>
    <row r="1334" spans="2:11" x14ac:dyDescent="0.35">
      <c r="B1334" t="s">
        <v>1330</v>
      </c>
      <c r="C1334">
        <v>17</v>
      </c>
      <c r="D1334">
        <v>2</v>
      </c>
      <c r="E1334">
        <v>0</v>
      </c>
      <c r="F1334">
        <v>0</v>
      </c>
      <c r="G1334">
        <v>0</v>
      </c>
      <c r="H1334">
        <v>0</v>
      </c>
      <c r="I1334">
        <v>3</v>
      </c>
      <c r="J1334">
        <v>13</v>
      </c>
      <c r="K1334">
        <f t="shared" si="22"/>
        <v>2</v>
      </c>
    </row>
    <row r="1335" spans="2:11" x14ac:dyDescent="0.35">
      <c r="B1335" t="s">
        <v>1331</v>
      </c>
      <c r="C1335">
        <v>14</v>
      </c>
      <c r="D1335">
        <v>2</v>
      </c>
      <c r="E1335">
        <v>0</v>
      </c>
      <c r="F1335">
        <v>0</v>
      </c>
      <c r="G1335">
        <v>0</v>
      </c>
      <c r="H1335">
        <v>0</v>
      </c>
      <c r="I1335">
        <v>2</v>
      </c>
      <c r="J1335">
        <v>11</v>
      </c>
      <c r="K1335">
        <f t="shared" si="22"/>
        <v>2</v>
      </c>
    </row>
    <row r="1336" spans="2:11" x14ac:dyDescent="0.35">
      <c r="B1336" t="s">
        <v>1332</v>
      </c>
      <c r="C1336">
        <v>14</v>
      </c>
      <c r="D1336">
        <v>2</v>
      </c>
      <c r="E1336">
        <v>0</v>
      </c>
      <c r="F1336">
        <v>0</v>
      </c>
      <c r="G1336">
        <v>0</v>
      </c>
      <c r="H1336">
        <v>0</v>
      </c>
      <c r="I1336">
        <v>2</v>
      </c>
      <c r="J1336">
        <v>11</v>
      </c>
      <c r="K1336">
        <f t="shared" si="22"/>
        <v>2</v>
      </c>
    </row>
    <row r="1337" spans="2:11" x14ac:dyDescent="0.35">
      <c r="B1337" t="s">
        <v>1333</v>
      </c>
      <c r="C1337">
        <v>13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4</v>
      </c>
      <c r="J1337">
        <v>10</v>
      </c>
      <c r="K1337">
        <f t="shared" si="22"/>
        <v>1</v>
      </c>
    </row>
    <row r="1338" spans="2:11" x14ac:dyDescent="0.35">
      <c r="B1338" t="s">
        <v>1334</v>
      </c>
      <c r="C1338">
        <v>63</v>
      </c>
      <c r="D1338">
        <v>3</v>
      </c>
      <c r="E1338">
        <v>0</v>
      </c>
      <c r="F1338">
        <v>0</v>
      </c>
      <c r="G1338">
        <v>2</v>
      </c>
      <c r="H1338">
        <v>7</v>
      </c>
      <c r="I1338">
        <v>34</v>
      </c>
      <c r="J1338">
        <v>18</v>
      </c>
      <c r="K1338">
        <f t="shared" si="22"/>
        <v>4</v>
      </c>
    </row>
    <row r="1339" spans="2:11" x14ac:dyDescent="0.35">
      <c r="B1339" t="s">
        <v>1335</v>
      </c>
      <c r="C1339">
        <v>17</v>
      </c>
      <c r="D1339">
        <v>0</v>
      </c>
      <c r="E1339">
        <v>0</v>
      </c>
      <c r="F1339">
        <v>0</v>
      </c>
      <c r="G1339">
        <v>0</v>
      </c>
      <c r="H1339">
        <v>1</v>
      </c>
      <c r="I1339">
        <v>8</v>
      </c>
      <c r="J1339">
        <v>9</v>
      </c>
      <c r="K1339">
        <f t="shared" si="22"/>
        <v>2</v>
      </c>
    </row>
    <row r="1340" spans="2:11" x14ac:dyDescent="0.35">
      <c r="B1340" t="s">
        <v>1336</v>
      </c>
      <c r="C1340">
        <v>49</v>
      </c>
      <c r="D1340">
        <v>7</v>
      </c>
      <c r="E1340">
        <v>1</v>
      </c>
      <c r="F1340">
        <v>0</v>
      </c>
      <c r="G1340">
        <v>14</v>
      </c>
      <c r="H1340">
        <v>4</v>
      </c>
      <c r="I1340">
        <v>14</v>
      </c>
      <c r="J1340">
        <v>10</v>
      </c>
      <c r="K1340">
        <f t="shared" si="22"/>
        <v>5</v>
      </c>
    </row>
    <row r="1341" spans="2:11" x14ac:dyDescent="0.35">
      <c r="B1341" t="s">
        <v>1337</v>
      </c>
      <c r="C1341">
        <v>9</v>
      </c>
      <c r="D1341">
        <v>1</v>
      </c>
      <c r="E1341">
        <v>0</v>
      </c>
      <c r="F1341">
        <v>0</v>
      </c>
      <c r="G1341">
        <v>0</v>
      </c>
      <c r="H1341">
        <v>1</v>
      </c>
      <c r="I1341">
        <v>3</v>
      </c>
      <c r="J1341">
        <v>5</v>
      </c>
      <c r="K1341">
        <f t="shared" si="22"/>
        <v>3</v>
      </c>
    </row>
    <row r="1342" spans="2:11" x14ac:dyDescent="0.35">
      <c r="B1342" t="s">
        <v>1338</v>
      </c>
      <c r="C1342">
        <v>40</v>
      </c>
      <c r="D1342">
        <v>2</v>
      </c>
      <c r="E1342">
        <v>0</v>
      </c>
      <c r="F1342">
        <v>0</v>
      </c>
      <c r="G1342">
        <v>0</v>
      </c>
      <c r="H1342">
        <v>5</v>
      </c>
      <c r="I1342">
        <v>10</v>
      </c>
      <c r="J1342">
        <v>24</v>
      </c>
      <c r="K1342">
        <f t="shared" si="22"/>
        <v>3</v>
      </c>
    </row>
    <row r="1343" spans="2:11" x14ac:dyDescent="0.35">
      <c r="B1343" t="s">
        <v>1339</v>
      </c>
      <c r="C1343">
        <v>29</v>
      </c>
      <c r="D1343">
        <v>7</v>
      </c>
      <c r="E1343">
        <v>0</v>
      </c>
      <c r="F1343">
        <v>1</v>
      </c>
      <c r="G1343">
        <v>0</v>
      </c>
      <c r="H1343">
        <v>1</v>
      </c>
      <c r="I1343">
        <v>4</v>
      </c>
      <c r="J1343">
        <v>17</v>
      </c>
      <c r="K1343">
        <f t="shared" si="22"/>
        <v>4</v>
      </c>
    </row>
    <row r="1344" spans="2:11" x14ac:dyDescent="0.35">
      <c r="B1344" t="s">
        <v>1340</v>
      </c>
      <c r="C1344">
        <v>20</v>
      </c>
      <c r="D1344">
        <v>0</v>
      </c>
      <c r="E1344">
        <v>0</v>
      </c>
      <c r="F1344">
        <v>0</v>
      </c>
      <c r="G1344">
        <v>6</v>
      </c>
      <c r="H1344">
        <v>3</v>
      </c>
      <c r="I1344">
        <v>4</v>
      </c>
      <c r="J1344">
        <v>8</v>
      </c>
      <c r="K1344">
        <f t="shared" si="22"/>
        <v>3</v>
      </c>
    </row>
    <row r="1345" spans="2:11" x14ac:dyDescent="0.35">
      <c r="B1345" t="s">
        <v>1341</v>
      </c>
      <c r="C1345">
        <v>88</v>
      </c>
      <c r="D1345">
        <v>6</v>
      </c>
      <c r="E1345">
        <v>0</v>
      </c>
      <c r="F1345">
        <v>3</v>
      </c>
      <c r="G1345">
        <v>7</v>
      </c>
      <c r="H1345">
        <v>2</v>
      </c>
      <c r="I1345">
        <v>31</v>
      </c>
      <c r="J1345">
        <v>40</v>
      </c>
      <c r="K1345">
        <f t="shared" si="22"/>
        <v>5</v>
      </c>
    </row>
    <row r="1346" spans="2:11" x14ac:dyDescent="0.35">
      <c r="B1346" t="s">
        <v>1342</v>
      </c>
      <c r="C1346">
        <v>20</v>
      </c>
      <c r="D1346">
        <v>0</v>
      </c>
      <c r="E1346">
        <v>0</v>
      </c>
      <c r="F1346">
        <v>0</v>
      </c>
      <c r="G1346">
        <v>1</v>
      </c>
      <c r="H1346">
        <v>1</v>
      </c>
      <c r="I1346">
        <v>9</v>
      </c>
      <c r="J1346">
        <v>10</v>
      </c>
      <c r="K1346">
        <f t="shared" si="22"/>
        <v>3</v>
      </c>
    </row>
    <row r="1347" spans="2:11" x14ac:dyDescent="0.35">
      <c r="B1347" t="s">
        <v>1343</v>
      </c>
      <c r="C1347">
        <v>19</v>
      </c>
      <c r="D1347">
        <v>3</v>
      </c>
      <c r="E1347">
        <v>1</v>
      </c>
      <c r="F1347">
        <v>0</v>
      </c>
      <c r="G1347">
        <v>0</v>
      </c>
      <c r="H1347">
        <v>8</v>
      </c>
      <c r="I1347">
        <v>6</v>
      </c>
      <c r="J1347">
        <v>2</v>
      </c>
      <c r="K1347">
        <f t="shared" si="22"/>
        <v>4</v>
      </c>
    </row>
    <row r="1348" spans="2:11" x14ac:dyDescent="0.35">
      <c r="B1348" t="s">
        <v>1344</v>
      </c>
      <c r="C1348">
        <v>126</v>
      </c>
      <c r="D1348">
        <v>3</v>
      </c>
      <c r="E1348">
        <v>0</v>
      </c>
      <c r="F1348">
        <v>1</v>
      </c>
      <c r="G1348">
        <v>11</v>
      </c>
      <c r="H1348">
        <v>7</v>
      </c>
      <c r="I1348">
        <v>68</v>
      </c>
      <c r="J1348">
        <v>37</v>
      </c>
      <c r="K1348">
        <f t="shared" si="22"/>
        <v>5</v>
      </c>
    </row>
    <row r="1349" spans="2:11" x14ac:dyDescent="0.35">
      <c r="B1349" t="s">
        <v>1345</v>
      </c>
      <c r="C1349">
        <v>16</v>
      </c>
      <c r="D1349">
        <v>0</v>
      </c>
      <c r="E1349">
        <v>0</v>
      </c>
      <c r="F1349">
        <v>0</v>
      </c>
      <c r="G1349">
        <v>1</v>
      </c>
      <c r="H1349">
        <v>1</v>
      </c>
      <c r="I1349">
        <v>1</v>
      </c>
      <c r="J1349">
        <v>14</v>
      </c>
      <c r="K1349">
        <f t="shared" si="22"/>
        <v>3</v>
      </c>
    </row>
    <row r="1350" spans="2:11" x14ac:dyDescent="0.35">
      <c r="B1350" t="s">
        <v>1346</v>
      </c>
      <c r="C1350">
        <v>20</v>
      </c>
      <c r="D1350">
        <v>2</v>
      </c>
      <c r="E1350">
        <v>0</v>
      </c>
      <c r="F1350">
        <v>2</v>
      </c>
      <c r="G1350">
        <v>1</v>
      </c>
      <c r="H1350">
        <v>0</v>
      </c>
      <c r="I1350">
        <v>2</v>
      </c>
      <c r="J1350">
        <v>14</v>
      </c>
      <c r="K1350">
        <f t="shared" si="22"/>
        <v>4</v>
      </c>
    </row>
    <row r="1351" spans="2:11" x14ac:dyDescent="0.35">
      <c r="B1351" t="s">
        <v>1347</v>
      </c>
      <c r="C1351">
        <v>59</v>
      </c>
      <c r="D1351">
        <v>7</v>
      </c>
      <c r="E1351">
        <v>1</v>
      </c>
      <c r="F1351">
        <v>6</v>
      </c>
      <c r="G1351">
        <v>1</v>
      </c>
      <c r="H1351">
        <v>3</v>
      </c>
      <c r="I1351">
        <v>9</v>
      </c>
      <c r="J1351">
        <v>33</v>
      </c>
      <c r="K1351">
        <f t="shared" si="22"/>
        <v>6</v>
      </c>
    </row>
    <row r="1352" spans="2:11" x14ac:dyDescent="0.35">
      <c r="B1352" t="s">
        <v>1348</v>
      </c>
      <c r="C1352">
        <v>124</v>
      </c>
      <c r="D1352">
        <v>2</v>
      </c>
      <c r="E1352">
        <v>1</v>
      </c>
      <c r="F1352">
        <v>0</v>
      </c>
      <c r="G1352">
        <v>1</v>
      </c>
      <c r="H1352">
        <v>15</v>
      </c>
      <c r="I1352">
        <v>40</v>
      </c>
      <c r="J1352">
        <v>66</v>
      </c>
      <c r="K1352">
        <f t="shared" si="22"/>
        <v>5</v>
      </c>
    </row>
    <row r="1353" spans="2:11" x14ac:dyDescent="0.35">
      <c r="B1353" t="s">
        <v>1349</v>
      </c>
      <c r="C1353">
        <v>61</v>
      </c>
      <c r="D1353">
        <v>4</v>
      </c>
      <c r="E1353">
        <v>0</v>
      </c>
      <c r="F1353">
        <v>1</v>
      </c>
      <c r="G1353">
        <v>21</v>
      </c>
      <c r="H1353">
        <v>5</v>
      </c>
      <c r="I1353">
        <v>19</v>
      </c>
      <c r="J1353">
        <v>12</v>
      </c>
      <c r="K1353">
        <f t="shared" si="22"/>
        <v>5</v>
      </c>
    </row>
    <row r="1354" spans="2:11" x14ac:dyDescent="0.35">
      <c r="B1354" t="s">
        <v>1350</v>
      </c>
      <c r="C1354">
        <v>14</v>
      </c>
      <c r="D1354">
        <v>1</v>
      </c>
      <c r="E1354">
        <v>3</v>
      </c>
      <c r="F1354">
        <v>1</v>
      </c>
      <c r="G1354">
        <v>0</v>
      </c>
      <c r="H1354">
        <v>0</v>
      </c>
      <c r="I1354">
        <v>1</v>
      </c>
      <c r="J1354">
        <v>9</v>
      </c>
      <c r="K1354">
        <f t="shared" si="22"/>
        <v>4</v>
      </c>
    </row>
    <row r="1355" spans="2:11" x14ac:dyDescent="0.35">
      <c r="B1355" t="s">
        <v>1351</v>
      </c>
      <c r="C1355">
        <v>14</v>
      </c>
      <c r="D1355">
        <v>1</v>
      </c>
      <c r="E1355">
        <v>3</v>
      </c>
      <c r="F1355">
        <v>1</v>
      </c>
      <c r="G1355">
        <v>0</v>
      </c>
      <c r="H1355">
        <v>0</v>
      </c>
      <c r="I1355">
        <v>1</v>
      </c>
      <c r="J1355">
        <v>9</v>
      </c>
      <c r="K1355">
        <f t="shared" si="22"/>
        <v>4</v>
      </c>
    </row>
    <row r="1356" spans="2:11" x14ac:dyDescent="0.35">
      <c r="B1356" t="s">
        <v>1352</v>
      </c>
      <c r="C1356">
        <v>14</v>
      </c>
      <c r="D1356">
        <v>1</v>
      </c>
      <c r="E1356">
        <v>3</v>
      </c>
      <c r="F1356">
        <v>1</v>
      </c>
      <c r="G1356">
        <v>0</v>
      </c>
      <c r="H1356">
        <v>0</v>
      </c>
      <c r="I1356">
        <v>1</v>
      </c>
      <c r="J1356">
        <v>9</v>
      </c>
      <c r="K1356">
        <f t="shared" ref="K1356:K1419" si="23">COUNTIF(D1356:I1356, "&gt;0")</f>
        <v>4</v>
      </c>
    </row>
    <row r="1357" spans="2:11" x14ac:dyDescent="0.35">
      <c r="B1357" t="s">
        <v>1353</v>
      </c>
      <c r="C1357">
        <v>15</v>
      </c>
      <c r="D1357">
        <v>0</v>
      </c>
      <c r="E1357">
        <v>0</v>
      </c>
      <c r="F1357">
        <v>0</v>
      </c>
      <c r="G1357">
        <v>5</v>
      </c>
      <c r="H1357">
        <v>1</v>
      </c>
      <c r="I1357">
        <v>2</v>
      </c>
      <c r="J1357">
        <v>8</v>
      </c>
      <c r="K1357">
        <f t="shared" si="23"/>
        <v>3</v>
      </c>
    </row>
    <row r="1358" spans="2:11" x14ac:dyDescent="0.35">
      <c r="B1358" t="s">
        <v>1354</v>
      </c>
      <c r="C1358">
        <v>33</v>
      </c>
      <c r="D1358">
        <v>1</v>
      </c>
      <c r="E1358">
        <v>0</v>
      </c>
      <c r="F1358">
        <v>15</v>
      </c>
      <c r="G1358">
        <v>2</v>
      </c>
      <c r="H1358">
        <v>0</v>
      </c>
      <c r="I1358">
        <v>5</v>
      </c>
      <c r="J1358">
        <v>11</v>
      </c>
      <c r="K1358">
        <f t="shared" si="23"/>
        <v>4</v>
      </c>
    </row>
    <row r="1359" spans="2:11" x14ac:dyDescent="0.35">
      <c r="B1359" t="s">
        <v>1355</v>
      </c>
      <c r="C1359">
        <v>73</v>
      </c>
      <c r="D1359">
        <v>5</v>
      </c>
      <c r="E1359">
        <v>0</v>
      </c>
      <c r="F1359">
        <v>2</v>
      </c>
      <c r="G1359">
        <v>4</v>
      </c>
      <c r="H1359">
        <v>10</v>
      </c>
      <c r="I1359">
        <v>23</v>
      </c>
      <c r="J1359">
        <v>30</v>
      </c>
      <c r="K1359">
        <f t="shared" si="23"/>
        <v>5</v>
      </c>
    </row>
    <row r="1360" spans="2:11" x14ac:dyDescent="0.35">
      <c r="B1360" t="s">
        <v>1356</v>
      </c>
      <c r="C1360">
        <v>50</v>
      </c>
      <c r="D1360">
        <v>5</v>
      </c>
      <c r="E1360">
        <v>1</v>
      </c>
      <c r="F1360">
        <v>0</v>
      </c>
      <c r="G1360">
        <v>0</v>
      </c>
      <c r="H1360">
        <v>3</v>
      </c>
      <c r="I1360">
        <v>20</v>
      </c>
      <c r="J1360">
        <v>22</v>
      </c>
      <c r="K1360">
        <f t="shared" si="23"/>
        <v>4</v>
      </c>
    </row>
    <row r="1361" spans="2:11" x14ac:dyDescent="0.35">
      <c r="B1361" t="s">
        <v>1357</v>
      </c>
      <c r="C1361">
        <v>7</v>
      </c>
      <c r="D1361">
        <v>1</v>
      </c>
      <c r="E1361">
        <v>0</v>
      </c>
      <c r="F1361">
        <v>0</v>
      </c>
      <c r="G1361">
        <v>0</v>
      </c>
      <c r="H1361">
        <v>0</v>
      </c>
      <c r="I1361">
        <v>4</v>
      </c>
      <c r="J1361">
        <v>3</v>
      </c>
      <c r="K1361">
        <f t="shared" si="23"/>
        <v>2</v>
      </c>
    </row>
    <row r="1362" spans="2:11" x14ac:dyDescent="0.35">
      <c r="B1362" t="s">
        <v>1358</v>
      </c>
      <c r="C1362">
        <v>26</v>
      </c>
      <c r="D1362">
        <v>1</v>
      </c>
      <c r="E1362">
        <v>0</v>
      </c>
      <c r="F1362">
        <v>0</v>
      </c>
      <c r="G1362">
        <v>0</v>
      </c>
      <c r="H1362">
        <v>2</v>
      </c>
      <c r="I1362">
        <v>7</v>
      </c>
      <c r="J1362">
        <v>17</v>
      </c>
      <c r="K1362">
        <f t="shared" si="23"/>
        <v>3</v>
      </c>
    </row>
    <row r="1363" spans="2:11" x14ac:dyDescent="0.35">
      <c r="B1363" t="s">
        <v>1359</v>
      </c>
      <c r="C1363">
        <v>19</v>
      </c>
      <c r="D1363">
        <v>1</v>
      </c>
      <c r="E1363">
        <v>0</v>
      </c>
      <c r="F1363">
        <v>0</v>
      </c>
      <c r="G1363">
        <v>2</v>
      </c>
      <c r="H1363">
        <v>0</v>
      </c>
      <c r="I1363">
        <v>9</v>
      </c>
      <c r="J1363">
        <v>8</v>
      </c>
      <c r="K1363">
        <f t="shared" si="23"/>
        <v>3</v>
      </c>
    </row>
    <row r="1364" spans="2:11" x14ac:dyDescent="0.35">
      <c r="B1364" t="s">
        <v>1360</v>
      </c>
      <c r="C1364">
        <v>93</v>
      </c>
      <c r="D1364">
        <v>2</v>
      </c>
      <c r="E1364">
        <v>0</v>
      </c>
      <c r="F1364">
        <v>0</v>
      </c>
      <c r="G1364">
        <v>2</v>
      </c>
      <c r="H1364">
        <v>4</v>
      </c>
      <c r="I1364">
        <v>60</v>
      </c>
      <c r="J1364">
        <v>26</v>
      </c>
      <c r="K1364">
        <f t="shared" si="23"/>
        <v>4</v>
      </c>
    </row>
    <row r="1365" spans="2:11" x14ac:dyDescent="0.35">
      <c r="B1365" t="s">
        <v>1361</v>
      </c>
      <c r="C1365">
        <v>9</v>
      </c>
      <c r="D1365">
        <v>2</v>
      </c>
      <c r="E1365">
        <v>0</v>
      </c>
      <c r="F1365">
        <v>0</v>
      </c>
      <c r="G1365">
        <v>0</v>
      </c>
      <c r="H1365">
        <v>1</v>
      </c>
      <c r="I1365">
        <v>4</v>
      </c>
      <c r="J1365">
        <v>3</v>
      </c>
      <c r="K1365">
        <f t="shared" si="23"/>
        <v>3</v>
      </c>
    </row>
    <row r="1366" spans="2:11" x14ac:dyDescent="0.35">
      <c r="B1366" t="s">
        <v>1362</v>
      </c>
      <c r="C1366">
        <v>19</v>
      </c>
      <c r="D1366">
        <v>2</v>
      </c>
      <c r="E1366">
        <v>1</v>
      </c>
      <c r="F1366">
        <v>0</v>
      </c>
      <c r="G1366">
        <v>2</v>
      </c>
      <c r="H1366">
        <v>1</v>
      </c>
      <c r="I1366">
        <v>4</v>
      </c>
      <c r="J1366">
        <v>10</v>
      </c>
      <c r="K1366">
        <f t="shared" si="23"/>
        <v>5</v>
      </c>
    </row>
    <row r="1367" spans="2:11" x14ac:dyDescent="0.35">
      <c r="B1367" t="s">
        <v>1363</v>
      </c>
      <c r="C1367">
        <v>7</v>
      </c>
      <c r="D1367">
        <v>0</v>
      </c>
      <c r="E1367">
        <v>0</v>
      </c>
      <c r="F1367">
        <v>0</v>
      </c>
      <c r="G1367">
        <v>1</v>
      </c>
      <c r="H1367">
        <v>0</v>
      </c>
      <c r="I1367">
        <v>5</v>
      </c>
      <c r="J1367">
        <v>2</v>
      </c>
      <c r="K1367">
        <f t="shared" si="23"/>
        <v>2</v>
      </c>
    </row>
    <row r="1368" spans="2:11" x14ac:dyDescent="0.35">
      <c r="B1368" t="s">
        <v>1364</v>
      </c>
      <c r="C1368">
        <v>10</v>
      </c>
      <c r="D1368">
        <v>1</v>
      </c>
      <c r="E1368">
        <v>0</v>
      </c>
      <c r="F1368">
        <v>0</v>
      </c>
      <c r="G1368">
        <v>1</v>
      </c>
      <c r="H1368">
        <v>1</v>
      </c>
      <c r="I1368">
        <v>3</v>
      </c>
      <c r="J1368">
        <v>5</v>
      </c>
      <c r="K1368">
        <f t="shared" si="23"/>
        <v>4</v>
      </c>
    </row>
    <row r="1369" spans="2:11" x14ac:dyDescent="0.35">
      <c r="B1369" t="s">
        <v>1365</v>
      </c>
      <c r="C1369">
        <v>32</v>
      </c>
      <c r="D1369">
        <v>0</v>
      </c>
      <c r="E1369">
        <v>0</v>
      </c>
      <c r="F1369">
        <v>0</v>
      </c>
      <c r="G1369">
        <v>9</v>
      </c>
      <c r="H1369">
        <v>3</v>
      </c>
      <c r="I1369">
        <v>17</v>
      </c>
      <c r="J1369">
        <v>4</v>
      </c>
      <c r="K1369">
        <f t="shared" si="23"/>
        <v>3</v>
      </c>
    </row>
    <row r="1370" spans="2:11" x14ac:dyDescent="0.35">
      <c r="B1370" t="s">
        <v>1366</v>
      </c>
      <c r="C1370">
        <v>26</v>
      </c>
      <c r="D1370">
        <v>0</v>
      </c>
      <c r="E1370">
        <v>0</v>
      </c>
      <c r="F1370">
        <v>0</v>
      </c>
      <c r="G1370">
        <v>6</v>
      </c>
      <c r="H1370">
        <v>3</v>
      </c>
      <c r="I1370">
        <v>11</v>
      </c>
      <c r="J1370">
        <v>7</v>
      </c>
      <c r="K1370">
        <f t="shared" si="23"/>
        <v>3</v>
      </c>
    </row>
    <row r="1371" spans="2:11" x14ac:dyDescent="0.35">
      <c r="B1371" t="s">
        <v>1367</v>
      </c>
      <c r="C1371">
        <v>86</v>
      </c>
      <c r="D1371">
        <v>1</v>
      </c>
      <c r="E1371">
        <v>0</v>
      </c>
      <c r="F1371">
        <v>0</v>
      </c>
      <c r="G1371">
        <v>3</v>
      </c>
      <c r="H1371">
        <v>0</v>
      </c>
      <c r="I1371">
        <v>48</v>
      </c>
      <c r="J1371">
        <v>35</v>
      </c>
      <c r="K1371">
        <f t="shared" si="23"/>
        <v>3</v>
      </c>
    </row>
    <row r="1372" spans="2:11" x14ac:dyDescent="0.35">
      <c r="B1372" t="s">
        <v>1368</v>
      </c>
      <c r="C1372">
        <v>14</v>
      </c>
      <c r="D1372">
        <v>0</v>
      </c>
      <c r="E1372">
        <v>0</v>
      </c>
      <c r="F1372">
        <v>0</v>
      </c>
      <c r="G1372">
        <v>3</v>
      </c>
      <c r="H1372">
        <v>0</v>
      </c>
      <c r="I1372">
        <v>7</v>
      </c>
      <c r="J1372">
        <v>5</v>
      </c>
      <c r="K1372">
        <f t="shared" si="23"/>
        <v>2</v>
      </c>
    </row>
    <row r="1373" spans="2:11" x14ac:dyDescent="0.35">
      <c r="B1373" t="s">
        <v>1369</v>
      </c>
      <c r="C1373">
        <v>56</v>
      </c>
      <c r="D1373">
        <v>0</v>
      </c>
      <c r="E1373">
        <v>0</v>
      </c>
      <c r="F1373">
        <v>0</v>
      </c>
      <c r="G1373">
        <v>2</v>
      </c>
      <c r="H1373">
        <v>7</v>
      </c>
      <c r="I1373">
        <v>11</v>
      </c>
      <c r="J1373">
        <v>37</v>
      </c>
      <c r="K1373">
        <f t="shared" si="23"/>
        <v>3</v>
      </c>
    </row>
    <row r="1374" spans="2:11" x14ac:dyDescent="0.35">
      <c r="B1374" t="s">
        <v>1370</v>
      </c>
      <c r="C1374">
        <v>33</v>
      </c>
      <c r="D1374">
        <v>1</v>
      </c>
      <c r="E1374">
        <v>0</v>
      </c>
      <c r="F1374">
        <v>0</v>
      </c>
      <c r="G1374">
        <v>4</v>
      </c>
      <c r="H1374">
        <v>2</v>
      </c>
      <c r="I1374">
        <v>15</v>
      </c>
      <c r="J1374">
        <v>12</v>
      </c>
      <c r="K1374">
        <f t="shared" si="23"/>
        <v>4</v>
      </c>
    </row>
    <row r="1375" spans="2:11" x14ac:dyDescent="0.35">
      <c r="B1375" t="s">
        <v>1371</v>
      </c>
      <c r="C1375">
        <v>84</v>
      </c>
      <c r="D1375">
        <v>0</v>
      </c>
      <c r="E1375">
        <v>0</v>
      </c>
      <c r="F1375">
        <v>2</v>
      </c>
      <c r="G1375">
        <v>13</v>
      </c>
      <c r="H1375">
        <v>1</v>
      </c>
      <c r="I1375">
        <v>30</v>
      </c>
      <c r="J1375">
        <v>39</v>
      </c>
      <c r="K1375">
        <f t="shared" si="23"/>
        <v>4</v>
      </c>
    </row>
    <row r="1376" spans="2:11" x14ac:dyDescent="0.35">
      <c r="B1376" t="s">
        <v>1372</v>
      </c>
      <c r="C1376">
        <v>25</v>
      </c>
      <c r="D1376">
        <v>1</v>
      </c>
      <c r="E1376">
        <v>0</v>
      </c>
      <c r="F1376">
        <v>1</v>
      </c>
      <c r="G1376">
        <v>1</v>
      </c>
      <c r="H1376">
        <v>1</v>
      </c>
      <c r="I1376">
        <v>6</v>
      </c>
      <c r="J1376">
        <v>16</v>
      </c>
      <c r="K1376">
        <f t="shared" si="23"/>
        <v>5</v>
      </c>
    </row>
    <row r="1377" spans="2:11" x14ac:dyDescent="0.35">
      <c r="B1377" t="s">
        <v>1373</v>
      </c>
      <c r="C1377">
        <v>67</v>
      </c>
      <c r="D1377">
        <v>6</v>
      </c>
      <c r="E1377">
        <v>0</v>
      </c>
      <c r="F1377">
        <v>0</v>
      </c>
      <c r="G1377">
        <v>5</v>
      </c>
      <c r="H1377">
        <v>6</v>
      </c>
      <c r="I1377">
        <v>28</v>
      </c>
      <c r="J1377">
        <v>23</v>
      </c>
      <c r="K1377">
        <f t="shared" si="23"/>
        <v>4</v>
      </c>
    </row>
    <row r="1378" spans="2:11" x14ac:dyDescent="0.35">
      <c r="B1378" t="s">
        <v>1374</v>
      </c>
      <c r="C1378">
        <v>58</v>
      </c>
      <c r="D1378">
        <v>4</v>
      </c>
      <c r="E1378">
        <v>4</v>
      </c>
      <c r="F1378">
        <v>1</v>
      </c>
      <c r="G1378">
        <v>5</v>
      </c>
      <c r="H1378">
        <v>1</v>
      </c>
      <c r="I1378">
        <v>16</v>
      </c>
      <c r="J1378">
        <v>28</v>
      </c>
      <c r="K1378">
        <f t="shared" si="23"/>
        <v>6</v>
      </c>
    </row>
    <row r="1379" spans="2:11" x14ac:dyDescent="0.35">
      <c r="B1379" t="s">
        <v>1375</v>
      </c>
      <c r="C1379">
        <v>59</v>
      </c>
      <c r="D1379">
        <v>4</v>
      </c>
      <c r="E1379">
        <v>4</v>
      </c>
      <c r="F1379">
        <v>1</v>
      </c>
      <c r="G1379">
        <v>5</v>
      </c>
      <c r="H1379">
        <v>1</v>
      </c>
      <c r="I1379">
        <v>17</v>
      </c>
      <c r="J1379">
        <v>28</v>
      </c>
      <c r="K1379">
        <f t="shared" si="23"/>
        <v>6</v>
      </c>
    </row>
    <row r="1380" spans="2:11" x14ac:dyDescent="0.35">
      <c r="B1380" t="s">
        <v>1376</v>
      </c>
      <c r="C1380">
        <v>60</v>
      </c>
      <c r="D1380">
        <v>4</v>
      </c>
      <c r="E1380">
        <v>4</v>
      </c>
      <c r="F1380">
        <v>1</v>
      </c>
      <c r="G1380">
        <v>5</v>
      </c>
      <c r="H1380">
        <v>1</v>
      </c>
      <c r="I1380">
        <v>18</v>
      </c>
      <c r="J1380">
        <v>28</v>
      </c>
      <c r="K1380">
        <f t="shared" si="23"/>
        <v>6</v>
      </c>
    </row>
    <row r="1381" spans="2:11" x14ac:dyDescent="0.35">
      <c r="B1381" t="s">
        <v>1377</v>
      </c>
      <c r="C1381">
        <v>10</v>
      </c>
      <c r="D1381">
        <v>1</v>
      </c>
      <c r="E1381">
        <v>0</v>
      </c>
      <c r="F1381">
        <v>0</v>
      </c>
      <c r="G1381">
        <v>0</v>
      </c>
      <c r="H1381">
        <v>4</v>
      </c>
      <c r="I1381">
        <v>1</v>
      </c>
      <c r="J1381">
        <v>5</v>
      </c>
      <c r="K1381">
        <f t="shared" si="23"/>
        <v>3</v>
      </c>
    </row>
    <row r="1382" spans="2:11" x14ac:dyDescent="0.35">
      <c r="B1382" t="s">
        <v>1378</v>
      </c>
      <c r="C1382">
        <v>36</v>
      </c>
      <c r="D1382">
        <v>2</v>
      </c>
      <c r="E1382">
        <v>0</v>
      </c>
      <c r="F1382">
        <v>0</v>
      </c>
      <c r="G1382">
        <v>5</v>
      </c>
      <c r="H1382">
        <v>1</v>
      </c>
      <c r="I1382">
        <v>10</v>
      </c>
      <c r="J1382">
        <v>19</v>
      </c>
      <c r="K1382">
        <f t="shared" si="23"/>
        <v>4</v>
      </c>
    </row>
    <row r="1383" spans="2:11" x14ac:dyDescent="0.35">
      <c r="B1383" t="s">
        <v>1379</v>
      </c>
      <c r="C1383">
        <v>46</v>
      </c>
      <c r="D1383">
        <v>2</v>
      </c>
      <c r="E1383">
        <v>0</v>
      </c>
      <c r="F1383">
        <v>0</v>
      </c>
      <c r="G1383">
        <v>5</v>
      </c>
      <c r="H1383">
        <v>1</v>
      </c>
      <c r="I1383">
        <v>10</v>
      </c>
      <c r="J1383">
        <v>29</v>
      </c>
      <c r="K1383">
        <f t="shared" si="23"/>
        <v>4</v>
      </c>
    </row>
    <row r="1384" spans="2:11" x14ac:dyDescent="0.35">
      <c r="B1384" t="s">
        <v>1380</v>
      </c>
      <c r="C1384">
        <v>32</v>
      </c>
      <c r="D1384">
        <v>2</v>
      </c>
      <c r="E1384">
        <v>0</v>
      </c>
      <c r="F1384">
        <v>0</v>
      </c>
      <c r="G1384">
        <v>0</v>
      </c>
      <c r="H1384">
        <v>3</v>
      </c>
      <c r="I1384">
        <v>9</v>
      </c>
      <c r="J1384">
        <v>19</v>
      </c>
      <c r="K1384">
        <f t="shared" si="23"/>
        <v>3</v>
      </c>
    </row>
    <row r="1385" spans="2:11" x14ac:dyDescent="0.35">
      <c r="B1385" t="s">
        <v>1381</v>
      </c>
      <c r="C1385">
        <v>47</v>
      </c>
      <c r="D1385">
        <v>0</v>
      </c>
      <c r="E1385">
        <v>0</v>
      </c>
      <c r="F1385">
        <v>0</v>
      </c>
      <c r="G1385">
        <v>9</v>
      </c>
      <c r="H1385">
        <v>3</v>
      </c>
      <c r="I1385">
        <v>17</v>
      </c>
      <c r="J1385">
        <v>19</v>
      </c>
      <c r="K1385">
        <f t="shared" si="23"/>
        <v>3</v>
      </c>
    </row>
    <row r="1386" spans="2:11" x14ac:dyDescent="0.35">
      <c r="B1386" t="s">
        <v>1382</v>
      </c>
      <c r="C1386">
        <v>36</v>
      </c>
      <c r="D1386">
        <v>2</v>
      </c>
      <c r="E1386">
        <v>0</v>
      </c>
      <c r="F1386">
        <v>0</v>
      </c>
      <c r="G1386">
        <v>0</v>
      </c>
      <c r="H1386">
        <v>7</v>
      </c>
      <c r="I1386">
        <v>13</v>
      </c>
      <c r="J1386">
        <v>15</v>
      </c>
      <c r="K1386">
        <f t="shared" si="23"/>
        <v>3</v>
      </c>
    </row>
    <row r="1387" spans="2:11" x14ac:dyDescent="0.35">
      <c r="B1387" t="s">
        <v>1383</v>
      </c>
      <c r="C1387">
        <v>23</v>
      </c>
      <c r="D1387">
        <v>1</v>
      </c>
      <c r="E1387">
        <v>0</v>
      </c>
      <c r="F1387">
        <v>0</v>
      </c>
      <c r="G1387">
        <v>1</v>
      </c>
      <c r="H1387">
        <v>3</v>
      </c>
      <c r="I1387">
        <v>7</v>
      </c>
      <c r="J1387">
        <v>12</v>
      </c>
      <c r="K1387">
        <f t="shared" si="23"/>
        <v>4</v>
      </c>
    </row>
    <row r="1388" spans="2:11" x14ac:dyDescent="0.35">
      <c r="B1388" t="s">
        <v>1384</v>
      </c>
      <c r="C1388">
        <v>12</v>
      </c>
      <c r="D1388">
        <v>0</v>
      </c>
      <c r="E1388">
        <v>0</v>
      </c>
      <c r="F1388">
        <v>0</v>
      </c>
      <c r="G1388">
        <v>0</v>
      </c>
      <c r="H1388">
        <v>4</v>
      </c>
      <c r="I1388">
        <v>5</v>
      </c>
      <c r="J1388">
        <v>4</v>
      </c>
      <c r="K1388">
        <f t="shared" si="23"/>
        <v>2</v>
      </c>
    </row>
    <row r="1389" spans="2:11" x14ac:dyDescent="0.35">
      <c r="B1389" t="s">
        <v>1385</v>
      </c>
      <c r="C1389">
        <v>85</v>
      </c>
      <c r="D1389">
        <v>3</v>
      </c>
      <c r="E1389">
        <v>0</v>
      </c>
      <c r="F1389">
        <v>0</v>
      </c>
      <c r="G1389">
        <v>3</v>
      </c>
      <c r="H1389">
        <v>8</v>
      </c>
      <c r="I1389">
        <v>30</v>
      </c>
      <c r="J1389">
        <v>42</v>
      </c>
      <c r="K1389">
        <f t="shared" si="23"/>
        <v>4</v>
      </c>
    </row>
    <row r="1390" spans="2:11" x14ac:dyDescent="0.35">
      <c r="B1390" t="s">
        <v>1386</v>
      </c>
      <c r="C1390">
        <v>32</v>
      </c>
      <c r="D1390">
        <v>4</v>
      </c>
      <c r="E1390">
        <v>0</v>
      </c>
      <c r="F1390">
        <v>0</v>
      </c>
      <c r="G1390">
        <v>10</v>
      </c>
      <c r="H1390">
        <v>0</v>
      </c>
      <c r="I1390">
        <v>11</v>
      </c>
      <c r="J1390">
        <v>8</v>
      </c>
      <c r="K1390">
        <f t="shared" si="23"/>
        <v>3</v>
      </c>
    </row>
    <row r="1391" spans="2:11" x14ac:dyDescent="0.35">
      <c r="B1391" t="s">
        <v>1387</v>
      </c>
      <c r="C1391">
        <v>56</v>
      </c>
      <c r="D1391">
        <v>1</v>
      </c>
      <c r="E1391">
        <v>1</v>
      </c>
      <c r="F1391">
        <v>0</v>
      </c>
      <c r="G1391">
        <v>13</v>
      </c>
      <c r="H1391">
        <v>9</v>
      </c>
      <c r="I1391">
        <v>14</v>
      </c>
      <c r="J1391">
        <v>19</v>
      </c>
      <c r="K1391">
        <f t="shared" si="23"/>
        <v>5</v>
      </c>
    </row>
    <row r="1392" spans="2:11" x14ac:dyDescent="0.35">
      <c r="B1392" t="s">
        <v>1388</v>
      </c>
      <c r="C1392">
        <v>15</v>
      </c>
      <c r="D1392">
        <v>1</v>
      </c>
      <c r="E1392">
        <v>0</v>
      </c>
      <c r="F1392">
        <v>0</v>
      </c>
      <c r="G1392">
        <v>3</v>
      </c>
      <c r="H1392">
        <v>0</v>
      </c>
      <c r="I1392">
        <v>0</v>
      </c>
      <c r="J1392">
        <v>12</v>
      </c>
      <c r="K1392">
        <f t="shared" si="23"/>
        <v>2</v>
      </c>
    </row>
    <row r="1393" spans="2:11" x14ac:dyDescent="0.35">
      <c r="B1393" t="s">
        <v>1389</v>
      </c>
      <c r="C1393">
        <v>10</v>
      </c>
      <c r="D1393">
        <v>0</v>
      </c>
      <c r="E1393">
        <v>0</v>
      </c>
      <c r="F1393">
        <v>0</v>
      </c>
      <c r="G1393">
        <v>1</v>
      </c>
      <c r="H1393">
        <v>0</v>
      </c>
      <c r="I1393">
        <v>6</v>
      </c>
      <c r="J1393">
        <v>4</v>
      </c>
      <c r="K1393">
        <f t="shared" si="23"/>
        <v>2</v>
      </c>
    </row>
    <row r="1394" spans="2:11" x14ac:dyDescent="0.35">
      <c r="B1394" t="s">
        <v>1390</v>
      </c>
      <c r="C1394">
        <v>24</v>
      </c>
      <c r="D1394">
        <v>0</v>
      </c>
      <c r="E1394">
        <v>0</v>
      </c>
      <c r="F1394">
        <v>0</v>
      </c>
      <c r="G1394">
        <v>1</v>
      </c>
      <c r="H1394">
        <v>4</v>
      </c>
      <c r="I1394">
        <v>3</v>
      </c>
      <c r="J1394">
        <v>17</v>
      </c>
      <c r="K1394">
        <f t="shared" si="23"/>
        <v>3</v>
      </c>
    </row>
    <row r="1395" spans="2:11" x14ac:dyDescent="0.35">
      <c r="B1395" t="s">
        <v>1391</v>
      </c>
      <c r="C1395">
        <v>8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3</v>
      </c>
      <c r="J1395">
        <v>6</v>
      </c>
      <c r="K1395">
        <f t="shared" si="23"/>
        <v>1</v>
      </c>
    </row>
    <row r="1396" spans="2:11" x14ac:dyDescent="0.35">
      <c r="B1396" t="s">
        <v>1392</v>
      </c>
      <c r="C1396">
        <v>26</v>
      </c>
      <c r="D1396">
        <v>0</v>
      </c>
      <c r="E1396">
        <v>0</v>
      </c>
      <c r="F1396">
        <v>2</v>
      </c>
      <c r="G1396">
        <v>1</v>
      </c>
      <c r="H1396">
        <v>0</v>
      </c>
      <c r="I1396">
        <v>6</v>
      </c>
      <c r="J1396">
        <v>18</v>
      </c>
      <c r="K1396">
        <f t="shared" si="23"/>
        <v>3</v>
      </c>
    </row>
    <row r="1397" spans="2:11" x14ac:dyDescent="0.35">
      <c r="B1397" t="s">
        <v>1393</v>
      </c>
      <c r="C1397">
        <v>25</v>
      </c>
      <c r="D1397">
        <v>1</v>
      </c>
      <c r="E1397">
        <v>1</v>
      </c>
      <c r="F1397">
        <v>1</v>
      </c>
      <c r="G1397">
        <v>0</v>
      </c>
      <c r="H1397">
        <v>0</v>
      </c>
      <c r="I1397">
        <v>3</v>
      </c>
      <c r="J1397">
        <v>20</v>
      </c>
      <c r="K1397">
        <f t="shared" si="23"/>
        <v>4</v>
      </c>
    </row>
    <row r="1398" spans="2:11" x14ac:dyDescent="0.35">
      <c r="B1398" t="s">
        <v>1394</v>
      </c>
      <c r="C1398">
        <v>71</v>
      </c>
      <c r="D1398">
        <v>4</v>
      </c>
      <c r="E1398">
        <v>0</v>
      </c>
      <c r="F1398">
        <v>0</v>
      </c>
      <c r="G1398">
        <v>8</v>
      </c>
      <c r="H1398">
        <v>4</v>
      </c>
      <c r="I1398">
        <v>30</v>
      </c>
      <c r="J1398">
        <v>26</v>
      </c>
      <c r="K1398">
        <f t="shared" si="23"/>
        <v>4</v>
      </c>
    </row>
    <row r="1399" spans="2:11" x14ac:dyDescent="0.35">
      <c r="B1399" t="s">
        <v>1395</v>
      </c>
      <c r="C1399">
        <v>11</v>
      </c>
      <c r="D1399">
        <v>0</v>
      </c>
      <c r="E1399">
        <v>0</v>
      </c>
      <c r="F1399">
        <v>0</v>
      </c>
      <c r="G1399">
        <v>2</v>
      </c>
      <c r="H1399">
        <v>2</v>
      </c>
      <c r="I1399">
        <v>5</v>
      </c>
      <c r="J1399">
        <v>3</v>
      </c>
      <c r="K1399">
        <f t="shared" si="23"/>
        <v>3</v>
      </c>
    </row>
    <row r="1400" spans="2:11" x14ac:dyDescent="0.35">
      <c r="B1400" t="s">
        <v>1396</v>
      </c>
      <c r="C1400">
        <v>56</v>
      </c>
      <c r="D1400">
        <v>5</v>
      </c>
      <c r="E1400">
        <v>0</v>
      </c>
      <c r="F1400">
        <v>0</v>
      </c>
      <c r="G1400">
        <v>2</v>
      </c>
      <c r="H1400">
        <v>7</v>
      </c>
      <c r="I1400">
        <v>24</v>
      </c>
      <c r="J1400">
        <v>19</v>
      </c>
      <c r="K1400">
        <f t="shared" si="23"/>
        <v>4</v>
      </c>
    </row>
    <row r="1401" spans="2:11" x14ac:dyDescent="0.35">
      <c r="B1401" t="s">
        <v>1397</v>
      </c>
      <c r="C1401">
        <v>24</v>
      </c>
      <c r="D1401">
        <v>5</v>
      </c>
      <c r="E1401">
        <v>1</v>
      </c>
      <c r="F1401">
        <v>0</v>
      </c>
      <c r="G1401">
        <v>0</v>
      </c>
      <c r="H1401">
        <v>2</v>
      </c>
      <c r="I1401">
        <v>11</v>
      </c>
      <c r="J1401">
        <v>6</v>
      </c>
      <c r="K1401">
        <f t="shared" si="23"/>
        <v>4</v>
      </c>
    </row>
    <row r="1402" spans="2:11" x14ac:dyDescent="0.35">
      <c r="B1402" t="s">
        <v>1398</v>
      </c>
      <c r="C1402">
        <v>6</v>
      </c>
      <c r="D1402">
        <v>1</v>
      </c>
      <c r="E1402">
        <v>1</v>
      </c>
      <c r="F1402">
        <v>0</v>
      </c>
      <c r="G1402">
        <v>0</v>
      </c>
      <c r="H1402">
        <v>0</v>
      </c>
      <c r="I1402">
        <v>1</v>
      </c>
      <c r="J1402">
        <v>4</v>
      </c>
      <c r="K1402">
        <f t="shared" si="23"/>
        <v>3</v>
      </c>
    </row>
    <row r="1403" spans="2:11" x14ac:dyDescent="0.35">
      <c r="B1403" t="s">
        <v>1399</v>
      </c>
      <c r="C1403">
        <v>16</v>
      </c>
      <c r="D1403">
        <v>2</v>
      </c>
      <c r="E1403">
        <v>0</v>
      </c>
      <c r="F1403">
        <v>2</v>
      </c>
      <c r="G1403">
        <v>0</v>
      </c>
      <c r="H1403">
        <v>1</v>
      </c>
      <c r="I1403">
        <v>0</v>
      </c>
      <c r="J1403">
        <v>12</v>
      </c>
      <c r="K1403">
        <f t="shared" si="23"/>
        <v>3</v>
      </c>
    </row>
    <row r="1404" spans="2:11" x14ac:dyDescent="0.35">
      <c r="B1404" t="s">
        <v>1400</v>
      </c>
      <c r="C1404">
        <v>119</v>
      </c>
      <c r="D1404">
        <v>2</v>
      </c>
      <c r="E1404">
        <v>0</v>
      </c>
      <c r="F1404">
        <v>0</v>
      </c>
      <c r="G1404">
        <v>0</v>
      </c>
      <c r="H1404">
        <v>48</v>
      </c>
      <c r="I1404">
        <v>12</v>
      </c>
      <c r="J1404">
        <v>58</v>
      </c>
      <c r="K1404">
        <f t="shared" si="23"/>
        <v>3</v>
      </c>
    </row>
    <row r="1405" spans="2:11" x14ac:dyDescent="0.35">
      <c r="B1405" t="s">
        <v>1401</v>
      </c>
      <c r="C1405">
        <v>16</v>
      </c>
      <c r="D1405">
        <v>0</v>
      </c>
      <c r="E1405">
        <v>0</v>
      </c>
      <c r="F1405">
        <v>0</v>
      </c>
      <c r="G1405">
        <v>0</v>
      </c>
      <c r="H1405">
        <v>3</v>
      </c>
      <c r="I1405">
        <v>2</v>
      </c>
      <c r="J1405">
        <v>12</v>
      </c>
      <c r="K1405">
        <f t="shared" si="23"/>
        <v>2</v>
      </c>
    </row>
    <row r="1406" spans="2:11" x14ac:dyDescent="0.35">
      <c r="B1406" t="s">
        <v>1402</v>
      </c>
      <c r="C1406">
        <v>14</v>
      </c>
      <c r="D1406">
        <v>0</v>
      </c>
      <c r="E1406">
        <v>0</v>
      </c>
      <c r="F1406">
        <v>1</v>
      </c>
      <c r="G1406">
        <v>0</v>
      </c>
      <c r="H1406">
        <v>2</v>
      </c>
      <c r="I1406">
        <v>2</v>
      </c>
      <c r="J1406">
        <v>10</v>
      </c>
      <c r="K1406">
        <f t="shared" si="23"/>
        <v>3</v>
      </c>
    </row>
    <row r="1407" spans="2:11" x14ac:dyDescent="0.35">
      <c r="B1407" t="s">
        <v>1403</v>
      </c>
      <c r="C1407">
        <v>101</v>
      </c>
      <c r="D1407">
        <v>1</v>
      </c>
      <c r="E1407">
        <v>0</v>
      </c>
      <c r="F1407">
        <v>1</v>
      </c>
      <c r="G1407">
        <v>22</v>
      </c>
      <c r="H1407">
        <v>5</v>
      </c>
      <c r="I1407">
        <v>39</v>
      </c>
      <c r="J1407">
        <v>34</v>
      </c>
      <c r="K1407">
        <f t="shared" si="23"/>
        <v>5</v>
      </c>
    </row>
    <row r="1408" spans="2:11" x14ac:dyDescent="0.35">
      <c r="B1408" t="s">
        <v>1404</v>
      </c>
      <c r="C1408">
        <v>75</v>
      </c>
      <c r="D1408">
        <v>1</v>
      </c>
      <c r="E1408">
        <v>0</v>
      </c>
      <c r="F1408">
        <v>0</v>
      </c>
      <c r="G1408">
        <v>16</v>
      </c>
      <c r="H1408">
        <v>3</v>
      </c>
      <c r="I1408">
        <v>34</v>
      </c>
      <c r="J1408">
        <v>22</v>
      </c>
      <c r="K1408">
        <f t="shared" si="23"/>
        <v>4</v>
      </c>
    </row>
    <row r="1409" spans="2:11" x14ac:dyDescent="0.35">
      <c r="B1409" t="s">
        <v>1405</v>
      </c>
      <c r="C1409">
        <v>18</v>
      </c>
      <c r="D1409">
        <v>1</v>
      </c>
      <c r="E1409">
        <v>0</v>
      </c>
      <c r="F1409">
        <v>0</v>
      </c>
      <c r="G1409">
        <v>0</v>
      </c>
      <c r="H1409">
        <v>1</v>
      </c>
      <c r="I1409">
        <v>8</v>
      </c>
      <c r="J1409">
        <v>9</v>
      </c>
      <c r="K1409">
        <f t="shared" si="23"/>
        <v>3</v>
      </c>
    </row>
    <row r="1410" spans="2:11" x14ac:dyDescent="0.35">
      <c r="B1410" t="s">
        <v>1406</v>
      </c>
      <c r="C1410">
        <v>6</v>
      </c>
      <c r="D1410">
        <v>2</v>
      </c>
      <c r="E1410">
        <v>0</v>
      </c>
      <c r="F1410">
        <v>0</v>
      </c>
      <c r="G1410">
        <v>0</v>
      </c>
      <c r="H1410">
        <v>1</v>
      </c>
      <c r="I1410">
        <v>0</v>
      </c>
      <c r="J1410">
        <v>4</v>
      </c>
      <c r="K1410">
        <f t="shared" si="23"/>
        <v>2</v>
      </c>
    </row>
    <row r="1411" spans="2:11" x14ac:dyDescent="0.35">
      <c r="B1411" t="s">
        <v>1407</v>
      </c>
      <c r="C1411">
        <v>41</v>
      </c>
      <c r="D1411">
        <v>3</v>
      </c>
      <c r="E1411">
        <v>0</v>
      </c>
      <c r="F1411">
        <v>1</v>
      </c>
      <c r="G1411">
        <v>1</v>
      </c>
      <c r="H1411">
        <v>3</v>
      </c>
      <c r="I1411">
        <v>5</v>
      </c>
      <c r="J1411">
        <v>29</v>
      </c>
      <c r="K1411">
        <f t="shared" si="23"/>
        <v>5</v>
      </c>
    </row>
    <row r="1412" spans="2:11" x14ac:dyDescent="0.35">
      <c r="B1412" t="s">
        <v>1408</v>
      </c>
      <c r="C1412">
        <v>12</v>
      </c>
      <c r="D1412">
        <v>2</v>
      </c>
      <c r="E1412">
        <v>0</v>
      </c>
      <c r="F1412">
        <v>0</v>
      </c>
      <c r="G1412">
        <v>1</v>
      </c>
      <c r="H1412">
        <v>1</v>
      </c>
      <c r="I1412">
        <v>3</v>
      </c>
      <c r="J1412">
        <v>6</v>
      </c>
      <c r="K1412">
        <f t="shared" si="23"/>
        <v>4</v>
      </c>
    </row>
    <row r="1413" spans="2:11" x14ac:dyDescent="0.35">
      <c r="B1413" t="s">
        <v>1409</v>
      </c>
      <c r="C1413">
        <v>9</v>
      </c>
      <c r="D1413">
        <v>0</v>
      </c>
      <c r="E1413">
        <v>0</v>
      </c>
      <c r="F1413">
        <v>0</v>
      </c>
      <c r="G1413">
        <v>0</v>
      </c>
      <c r="H1413">
        <v>2</v>
      </c>
      <c r="I1413">
        <v>3</v>
      </c>
      <c r="J1413">
        <v>5</v>
      </c>
      <c r="K1413">
        <f t="shared" si="23"/>
        <v>2</v>
      </c>
    </row>
    <row r="1414" spans="2:11" x14ac:dyDescent="0.35">
      <c r="B1414" t="s">
        <v>1410</v>
      </c>
      <c r="C1414">
        <v>23</v>
      </c>
      <c r="D1414">
        <v>1</v>
      </c>
      <c r="E1414">
        <v>0</v>
      </c>
      <c r="F1414">
        <v>0</v>
      </c>
      <c r="G1414">
        <v>1</v>
      </c>
      <c r="H1414">
        <v>2</v>
      </c>
      <c r="I1414">
        <v>14</v>
      </c>
      <c r="J1414">
        <v>6</v>
      </c>
      <c r="K1414">
        <f t="shared" si="23"/>
        <v>4</v>
      </c>
    </row>
    <row r="1415" spans="2:11" x14ac:dyDescent="0.35">
      <c r="B1415" t="s">
        <v>1411</v>
      </c>
      <c r="C1415">
        <v>9</v>
      </c>
      <c r="D1415">
        <v>0</v>
      </c>
      <c r="E1415">
        <v>0</v>
      </c>
      <c r="F1415">
        <v>0</v>
      </c>
      <c r="G1415">
        <v>0</v>
      </c>
      <c r="H1415">
        <v>2</v>
      </c>
      <c r="I1415">
        <v>3</v>
      </c>
      <c r="J1415">
        <v>5</v>
      </c>
      <c r="K1415">
        <f t="shared" si="23"/>
        <v>2</v>
      </c>
    </row>
    <row r="1416" spans="2:11" x14ac:dyDescent="0.35">
      <c r="B1416" t="s">
        <v>1412</v>
      </c>
      <c r="C1416">
        <v>117</v>
      </c>
      <c r="D1416">
        <v>2</v>
      </c>
      <c r="E1416">
        <v>0</v>
      </c>
      <c r="F1416">
        <v>0</v>
      </c>
      <c r="G1416">
        <v>6</v>
      </c>
      <c r="H1416">
        <v>32</v>
      </c>
      <c r="I1416">
        <v>21</v>
      </c>
      <c r="J1416">
        <v>57</v>
      </c>
      <c r="K1416">
        <f t="shared" si="23"/>
        <v>4</v>
      </c>
    </row>
    <row r="1417" spans="2:11" x14ac:dyDescent="0.35">
      <c r="B1417" t="s">
        <v>1413</v>
      </c>
      <c r="C1417">
        <v>24</v>
      </c>
      <c r="D1417">
        <v>3</v>
      </c>
      <c r="E1417">
        <v>0</v>
      </c>
      <c r="F1417">
        <v>0</v>
      </c>
      <c r="G1417">
        <v>3</v>
      </c>
      <c r="H1417">
        <v>3</v>
      </c>
      <c r="I1417">
        <v>4</v>
      </c>
      <c r="J1417">
        <v>12</v>
      </c>
      <c r="K1417">
        <f t="shared" si="23"/>
        <v>4</v>
      </c>
    </row>
    <row r="1418" spans="2:11" x14ac:dyDescent="0.35">
      <c r="B1418" t="s">
        <v>1414</v>
      </c>
      <c r="C1418">
        <v>26</v>
      </c>
      <c r="D1418">
        <v>0</v>
      </c>
      <c r="E1418">
        <v>0</v>
      </c>
      <c r="F1418">
        <v>0</v>
      </c>
      <c r="G1418">
        <v>0</v>
      </c>
      <c r="H1418">
        <v>3</v>
      </c>
      <c r="I1418">
        <v>4</v>
      </c>
      <c r="J1418">
        <v>20</v>
      </c>
      <c r="K1418">
        <f t="shared" si="23"/>
        <v>2</v>
      </c>
    </row>
    <row r="1419" spans="2:11" x14ac:dyDescent="0.35">
      <c r="B1419" t="s">
        <v>1415</v>
      </c>
      <c r="C1419">
        <v>12</v>
      </c>
      <c r="D1419">
        <v>0</v>
      </c>
      <c r="E1419">
        <v>0</v>
      </c>
      <c r="F1419">
        <v>0</v>
      </c>
      <c r="G1419">
        <v>0</v>
      </c>
      <c r="H1419">
        <v>3</v>
      </c>
      <c r="I1419">
        <v>4</v>
      </c>
      <c r="J1419">
        <v>6</v>
      </c>
      <c r="K1419">
        <f t="shared" si="23"/>
        <v>2</v>
      </c>
    </row>
    <row r="1420" spans="2:11" x14ac:dyDescent="0.35">
      <c r="B1420" t="s">
        <v>1416</v>
      </c>
      <c r="C1420">
        <v>17</v>
      </c>
      <c r="D1420">
        <v>3</v>
      </c>
      <c r="E1420">
        <v>0</v>
      </c>
      <c r="F1420">
        <v>1</v>
      </c>
      <c r="G1420">
        <v>1</v>
      </c>
      <c r="H1420">
        <v>3</v>
      </c>
      <c r="I1420">
        <v>7</v>
      </c>
      <c r="J1420">
        <v>3</v>
      </c>
      <c r="K1420">
        <f t="shared" ref="K1420:K1483" si="24">COUNTIF(D1420:I1420, "&gt;0")</f>
        <v>5</v>
      </c>
    </row>
    <row r="1421" spans="2:11" x14ac:dyDescent="0.35">
      <c r="B1421" t="s">
        <v>1417</v>
      </c>
      <c r="C1421">
        <v>22</v>
      </c>
      <c r="D1421">
        <v>2</v>
      </c>
      <c r="E1421">
        <v>0</v>
      </c>
      <c r="F1421">
        <v>4</v>
      </c>
      <c r="G1421">
        <v>0</v>
      </c>
      <c r="H1421">
        <v>2</v>
      </c>
      <c r="I1421">
        <v>2</v>
      </c>
      <c r="J1421">
        <v>13</v>
      </c>
      <c r="K1421">
        <f t="shared" si="24"/>
        <v>4</v>
      </c>
    </row>
    <row r="1422" spans="2:11" x14ac:dyDescent="0.35">
      <c r="B1422" t="s">
        <v>1418</v>
      </c>
      <c r="C1422">
        <v>11</v>
      </c>
      <c r="D1422">
        <v>3</v>
      </c>
      <c r="E1422">
        <v>0</v>
      </c>
      <c r="F1422">
        <v>0</v>
      </c>
      <c r="G1422">
        <v>1</v>
      </c>
      <c r="H1422">
        <v>1</v>
      </c>
      <c r="I1422">
        <v>5</v>
      </c>
      <c r="J1422">
        <v>2</v>
      </c>
      <c r="K1422">
        <f t="shared" si="24"/>
        <v>4</v>
      </c>
    </row>
    <row r="1423" spans="2:11" x14ac:dyDescent="0.35">
      <c r="B1423" t="s">
        <v>1419</v>
      </c>
      <c r="C1423">
        <v>21</v>
      </c>
      <c r="D1423">
        <v>2</v>
      </c>
      <c r="E1423">
        <v>0</v>
      </c>
      <c r="F1423">
        <v>1</v>
      </c>
      <c r="G1423">
        <v>0</v>
      </c>
      <c r="H1423">
        <v>2</v>
      </c>
      <c r="I1423">
        <v>9</v>
      </c>
      <c r="J1423">
        <v>8</v>
      </c>
      <c r="K1423">
        <f t="shared" si="24"/>
        <v>4</v>
      </c>
    </row>
    <row r="1424" spans="2:11" x14ac:dyDescent="0.35">
      <c r="B1424" t="s">
        <v>1420</v>
      </c>
      <c r="C1424">
        <v>15</v>
      </c>
      <c r="D1424">
        <v>3</v>
      </c>
      <c r="E1424">
        <v>0</v>
      </c>
      <c r="F1424">
        <v>0</v>
      </c>
      <c r="G1424">
        <v>5</v>
      </c>
      <c r="H1424">
        <v>0</v>
      </c>
      <c r="I1424">
        <v>2</v>
      </c>
      <c r="J1424">
        <v>6</v>
      </c>
      <c r="K1424">
        <f t="shared" si="24"/>
        <v>3</v>
      </c>
    </row>
    <row r="1425" spans="2:11" x14ac:dyDescent="0.35">
      <c r="B1425" t="s">
        <v>1421</v>
      </c>
      <c r="C1425">
        <v>4</v>
      </c>
      <c r="D1425">
        <v>0</v>
      </c>
      <c r="E1425">
        <v>0</v>
      </c>
      <c r="F1425">
        <v>0</v>
      </c>
      <c r="G1425">
        <v>0</v>
      </c>
      <c r="H1425">
        <v>2</v>
      </c>
      <c r="I1425">
        <v>2</v>
      </c>
      <c r="J1425">
        <v>1</v>
      </c>
      <c r="K1425">
        <f t="shared" si="24"/>
        <v>2</v>
      </c>
    </row>
    <row r="1426" spans="2:11" x14ac:dyDescent="0.35">
      <c r="B1426" t="s">
        <v>1422</v>
      </c>
      <c r="C1426">
        <v>77</v>
      </c>
      <c r="D1426">
        <v>6</v>
      </c>
      <c r="E1426">
        <v>0</v>
      </c>
      <c r="F1426">
        <v>0</v>
      </c>
      <c r="G1426">
        <v>4</v>
      </c>
      <c r="H1426">
        <v>7</v>
      </c>
      <c r="I1426">
        <v>20</v>
      </c>
      <c r="J1426">
        <v>41</v>
      </c>
      <c r="K1426">
        <f t="shared" si="24"/>
        <v>4</v>
      </c>
    </row>
    <row r="1427" spans="2:11" x14ac:dyDescent="0.35">
      <c r="B1427" t="s">
        <v>1423</v>
      </c>
      <c r="C1427">
        <v>52</v>
      </c>
      <c r="D1427">
        <v>6</v>
      </c>
      <c r="E1427">
        <v>14</v>
      </c>
      <c r="F1427">
        <v>0</v>
      </c>
      <c r="G1427">
        <v>3</v>
      </c>
      <c r="H1427">
        <v>1</v>
      </c>
      <c r="I1427">
        <v>5</v>
      </c>
      <c r="J1427">
        <v>24</v>
      </c>
      <c r="K1427">
        <f t="shared" si="24"/>
        <v>5</v>
      </c>
    </row>
    <row r="1428" spans="2:11" x14ac:dyDescent="0.35">
      <c r="B1428" t="s">
        <v>1424</v>
      </c>
      <c r="C1428">
        <v>14</v>
      </c>
      <c r="D1428">
        <v>4</v>
      </c>
      <c r="E1428">
        <v>0</v>
      </c>
      <c r="F1428">
        <v>0</v>
      </c>
      <c r="G1428">
        <v>0</v>
      </c>
      <c r="H1428">
        <v>4</v>
      </c>
      <c r="I1428">
        <v>5</v>
      </c>
      <c r="J1428">
        <v>2</v>
      </c>
      <c r="K1428">
        <f t="shared" si="24"/>
        <v>3</v>
      </c>
    </row>
    <row r="1429" spans="2:11" x14ac:dyDescent="0.35">
      <c r="B1429" t="s">
        <v>1425</v>
      </c>
      <c r="C1429">
        <v>7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1</v>
      </c>
      <c r="J1429">
        <v>7</v>
      </c>
      <c r="K1429">
        <f t="shared" si="24"/>
        <v>1</v>
      </c>
    </row>
    <row r="1430" spans="2:11" x14ac:dyDescent="0.35">
      <c r="B1430" t="s">
        <v>1426</v>
      </c>
      <c r="C1430">
        <v>41</v>
      </c>
      <c r="D1430">
        <v>1</v>
      </c>
      <c r="E1430">
        <v>0</v>
      </c>
      <c r="F1430">
        <v>0</v>
      </c>
      <c r="G1430">
        <v>0</v>
      </c>
      <c r="H1430">
        <v>15</v>
      </c>
      <c r="I1430">
        <v>6</v>
      </c>
      <c r="J1430">
        <v>20</v>
      </c>
      <c r="K1430">
        <f t="shared" si="24"/>
        <v>3</v>
      </c>
    </row>
    <row r="1431" spans="2:11" x14ac:dyDescent="0.35">
      <c r="B1431" t="s">
        <v>1427</v>
      </c>
      <c r="C1431">
        <v>29</v>
      </c>
      <c r="D1431">
        <v>4</v>
      </c>
      <c r="E1431">
        <v>0</v>
      </c>
      <c r="F1431">
        <v>0</v>
      </c>
      <c r="G1431">
        <v>1</v>
      </c>
      <c r="H1431">
        <v>2</v>
      </c>
      <c r="I1431">
        <v>6</v>
      </c>
      <c r="J1431">
        <v>17</v>
      </c>
      <c r="K1431">
        <f t="shared" si="24"/>
        <v>4</v>
      </c>
    </row>
    <row r="1432" spans="2:11" x14ac:dyDescent="0.35">
      <c r="B1432" t="s">
        <v>1428</v>
      </c>
      <c r="C1432">
        <v>50</v>
      </c>
      <c r="D1432">
        <v>8</v>
      </c>
      <c r="E1432">
        <v>0</v>
      </c>
      <c r="F1432">
        <v>0</v>
      </c>
      <c r="G1432">
        <v>0</v>
      </c>
      <c r="H1432">
        <v>1</v>
      </c>
      <c r="I1432">
        <v>11</v>
      </c>
      <c r="J1432">
        <v>31</v>
      </c>
      <c r="K1432">
        <f t="shared" si="24"/>
        <v>3</v>
      </c>
    </row>
    <row r="1433" spans="2:11" x14ac:dyDescent="0.35">
      <c r="B1433" t="s">
        <v>1429</v>
      </c>
      <c r="C1433">
        <v>51</v>
      </c>
      <c r="D1433">
        <v>8</v>
      </c>
      <c r="E1433">
        <v>0</v>
      </c>
      <c r="F1433">
        <v>0</v>
      </c>
      <c r="G1433">
        <v>0</v>
      </c>
      <c r="H1433">
        <v>1</v>
      </c>
      <c r="I1433">
        <v>11</v>
      </c>
      <c r="J1433">
        <v>32</v>
      </c>
      <c r="K1433">
        <f t="shared" si="24"/>
        <v>3</v>
      </c>
    </row>
    <row r="1434" spans="2:11" x14ac:dyDescent="0.35">
      <c r="B1434" t="s">
        <v>1430</v>
      </c>
      <c r="C1434">
        <v>38</v>
      </c>
      <c r="D1434">
        <v>5</v>
      </c>
      <c r="E1434">
        <v>0</v>
      </c>
      <c r="F1434">
        <v>1</v>
      </c>
      <c r="G1434">
        <v>8</v>
      </c>
      <c r="H1434">
        <v>1</v>
      </c>
      <c r="I1434">
        <v>10</v>
      </c>
      <c r="J1434">
        <v>14</v>
      </c>
      <c r="K1434">
        <f t="shared" si="24"/>
        <v>5</v>
      </c>
    </row>
    <row r="1435" spans="2:11" x14ac:dyDescent="0.35">
      <c r="B1435" t="s">
        <v>1431</v>
      </c>
      <c r="C1435">
        <v>14</v>
      </c>
      <c r="D1435">
        <v>0</v>
      </c>
      <c r="E1435">
        <v>0</v>
      </c>
      <c r="F1435">
        <v>2</v>
      </c>
      <c r="G1435">
        <v>0</v>
      </c>
      <c r="H1435">
        <v>6</v>
      </c>
      <c r="I1435">
        <v>0</v>
      </c>
      <c r="J1435">
        <v>7</v>
      </c>
      <c r="K1435">
        <f t="shared" si="24"/>
        <v>2</v>
      </c>
    </row>
    <row r="1436" spans="2:11" x14ac:dyDescent="0.35">
      <c r="B1436" t="s">
        <v>1432</v>
      </c>
      <c r="C1436">
        <v>32</v>
      </c>
      <c r="D1436">
        <v>5</v>
      </c>
      <c r="E1436">
        <v>0</v>
      </c>
      <c r="F1436">
        <v>0</v>
      </c>
      <c r="G1436">
        <v>5</v>
      </c>
      <c r="H1436">
        <v>0</v>
      </c>
      <c r="I1436">
        <v>12</v>
      </c>
      <c r="J1436">
        <v>11</v>
      </c>
      <c r="K1436">
        <f t="shared" si="24"/>
        <v>3</v>
      </c>
    </row>
    <row r="1437" spans="2:11" x14ac:dyDescent="0.35">
      <c r="B1437" t="s">
        <v>1433</v>
      </c>
      <c r="C1437">
        <v>11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6</v>
      </c>
      <c r="J1437">
        <v>3</v>
      </c>
      <c r="K1437">
        <f t="shared" si="24"/>
        <v>3</v>
      </c>
    </row>
    <row r="1438" spans="2:11" x14ac:dyDescent="0.35">
      <c r="B1438" t="s">
        <v>1434</v>
      </c>
      <c r="C1438">
        <v>52</v>
      </c>
      <c r="D1438">
        <v>1</v>
      </c>
      <c r="E1438">
        <v>0</v>
      </c>
      <c r="F1438">
        <v>0</v>
      </c>
      <c r="G1438">
        <v>11</v>
      </c>
      <c r="H1438">
        <v>5</v>
      </c>
      <c r="I1438">
        <v>26</v>
      </c>
      <c r="J1438">
        <v>10</v>
      </c>
      <c r="K1438">
        <f t="shared" si="24"/>
        <v>4</v>
      </c>
    </row>
    <row r="1439" spans="2:11" x14ac:dyDescent="0.35">
      <c r="B1439" t="s">
        <v>1435</v>
      </c>
      <c r="C1439">
        <v>39</v>
      </c>
      <c r="D1439">
        <v>3</v>
      </c>
      <c r="E1439">
        <v>1</v>
      </c>
      <c r="F1439">
        <v>0</v>
      </c>
      <c r="G1439">
        <v>0</v>
      </c>
      <c r="H1439">
        <v>21</v>
      </c>
      <c r="I1439">
        <v>8</v>
      </c>
      <c r="J1439">
        <v>7</v>
      </c>
      <c r="K1439">
        <f t="shared" si="24"/>
        <v>4</v>
      </c>
    </row>
    <row r="1440" spans="2:11" x14ac:dyDescent="0.35">
      <c r="B1440" t="s">
        <v>1436</v>
      </c>
      <c r="C1440">
        <v>50</v>
      </c>
      <c r="D1440">
        <v>1</v>
      </c>
      <c r="E1440">
        <v>1</v>
      </c>
      <c r="F1440">
        <v>2</v>
      </c>
      <c r="G1440">
        <v>0</v>
      </c>
      <c r="H1440">
        <v>0</v>
      </c>
      <c r="I1440">
        <v>10</v>
      </c>
      <c r="J1440">
        <v>37</v>
      </c>
      <c r="K1440">
        <f t="shared" si="24"/>
        <v>4</v>
      </c>
    </row>
    <row r="1441" spans="2:11" x14ac:dyDescent="0.35">
      <c r="B1441" t="s">
        <v>1437</v>
      </c>
      <c r="C1441">
        <v>12</v>
      </c>
      <c r="D1441">
        <v>0</v>
      </c>
      <c r="E1441">
        <v>0</v>
      </c>
      <c r="F1441">
        <v>0</v>
      </c>
      <c r="G1441">
        <v>0</v>
      </c>
      <c r="H1441">
        <v>5</v>
      </c>
      <c r="I1441">
        <v>2</v>
      </c>
      <c r="J1441">
        <v>6</v>
      </c>
      <c r="K1441">
        <f t="shared" si="24"/>
        <v>2</v>
      </c>
    </row>
    <row r="1442" spans="2:11" x14ac:dyDescent="0.35">
      <c r="B1442" t="s">
        <v>1438</v>
      </c>
      <c r="C1442">
        <v>18</v>
      </c>
      <c r="D1442">
        <v>0</v>
      </c>
      <c r="E1442">
        <v>0</v>
      </c>
      <c r="F1442">
        <v>0</v>
      </c>
      <c r="G1442">
        <v>1</v>
      </c>
      <c r="H1442">
        <v>5</v>
      </c>
      <c r="I1442">
        <v>5</v>
      </c>
      <c r="J1442">
        <v>8</v>
      </c>
      <c r="K1442">
        <f t="shared" si="24"/>
        <v>3</v>
      </c>
    </row>
    <row r="1443" spans="2:11" x14ac:dyDescent="0.35">
      <c r="B1443" t="s">
        <v>1439</v>
      </c>
      <c r="C1443">
        <v>60</v>
      </c>
      <c r="D1443">
        <v>3</v>
      </c>
      <c r="E1443">
        <v>0</v>
      </c>
      <c r="F1443">
        <v>2</v>
      </c>
      <c r="G1443">
        <v>0</v>
      </c>
      <c r="H1443">
        <v>14</v>
      </c>
      <c r="I1443">
        <v>12</v>
      </c>
      <c r="J1443">
        <v>30</v>
      </c>
      <c r="K1443">
        <f t="shared" si="24"/>
        <v>4</v>
      </c>
    </row>
    <row r="1444" spans="2:11" x14ac:dyDescent="0.35">
      <c r="B1444" t="s">
        <v>1440</v>
      </c>
      <c r="C1444">
        <v>28</v>
      </c>
      <c r="D1444">
        <v>5</v>
      </c>
      <c r="E1444">
        <v>0</v>
      </c>
      <c r="F1444">
        <v>0</v>
      </c>
      <c r="G1444">
        <v>0</v>
      </c>
      <c r="H1444">
        <v>8</v>
      </c>
      <c r="I1444">
        <v>8</v>
      </c>
      <c r="J1444">
        <v>8</v>
      </c>
      <c r="K1444">
        <f t="shared" si="24"/>
        <v>3</v>
      </c>
    </row>
    <row r="1445" spans="2:11" x14ac:dyDescent="0.35">
      <c r="B1445" t="s">
        <v>1441</v>
      </c>
      <c r="C1445">
        <v>37</v>
      </c>
      <c r="D1445">
        <v>4</v>
      </c>
      <c r="E1445">
        <v>0</v>
      </c>
      <c r="F1445">
        <v>2</v>
      </c>
      <c r="G1445">
        <v>0</v>
      </c>
      <c r="H1445">
        <v>9</v>
      </c>
      <c r="I1445">
        <v>9</v>
      </c>
      <c r="J1445">
        <v>14</v>
      </c>
      <c r="K1445">
        <f t="shared" si="24"/>
        <v>4</v>
      </c>
    </row>
    <row r="1446" spans="2:11" x14ac:dyDescent="0.35">
      <c r="B1446" t="s">
        <v>1442</v>
      </c>
      <c r="C1446">
        <v>58</v>
      </c>
      <c r="D1446">
        <v>0</v>
      </c>
      <c r="E1446">
        <v>0</v>
      </c>
      <c r="F1446">
        <v>0</v>
      </c>
      <c r="G1446">
        <v>8</v>
      </c>
      <c r="H1446">
        <v>18</v>
      </c>
      <c r="I1446">
        <v>12</v>
      </c>
      <c r="J1446">
        <v>21</v>
      </c>
      <c r="K1446">
        <f t="shared" si="24"/>
        <v>3</v>
      </c>
    </row>
    <row r="1447" spans="2:11" x14ac:dyDescent="0.35">
      <c r="B1447" t="s">
        <v>1443</v>
      </c>
      <c r="C1447">
        <v>84</v>
      </c>
      <c r="D1447">
        <v>1</v>
      </c>
      <c r="E1447">
        <v>0</v>
      </c>
      <c r="F1447">
        <v>1</v>
      </c>
      <c r="G1447">
        <v>0</v>
      </c>
      <c r="H1447">
        <v>6</v>
      </c>
      <c r="I1447">
        <v>60</v>
      </c>
      <c r="J1447">
        <v>17</v>
      </c>
      <c r="K1447">
        <f t="shared" si="24"/>
        <v>4</v>
      </c>
    </row>
    <row r="1448" spans="2:11" x14ac:dyDescent="0.35">
      <c r="B1448" t="s">
        <v>1444</v>
      </c>
      <c r="C1448">
        <v>17</v>
      </c>
      <c r="D1448">
        <v>1</v>
      </c>
      <c r="E1448">
        <v>0</v>
      </c>
      <c r="F1448">
        <v>0</v>
      </c>
      <c r="G1448">
        <v>0</v>
      </c>
      <c r="H1448">
        <v>3</v>
      </c>
      <c r="I1448">
        <v>6</v>
      </c>
      <c r="J1448">
        <v>8</v>
      </c>
      <c r="K1448">
        <f t="shared" si="24"/>
        <v>3</v>
      </c>
    </row>
    <row r="1449" spans="2:11" x14ac:dyDescent="0.35">
      <c r="B1449" t="s">
        <v>1445</v>
      </c>
      <c r="C1449">
        <v>8</v>
      </c>
      <c r="D1449">
        <v>1</v>
      </c>
      <c r="E1449">
        <v>0</v>
      </c>
      <c r="F1449">
        <v>0</v>
      </c>
      <c r="G1449">
        <v>0</v>
      </c>
      <c r="H1449">
        <v>0</v>
      </c>
      <c r="I1449">
        <v>2</v>
      </c>
      <c r="J1449">
        <v>6</v>
      </c>
      <c r="K1449">
        <f t="shared" si="24"/>
        <v>2</v>
      </c>
    </row>
    <row r="1450" spans="2:11" x14ac:dyDescent="0.35">
      <c r="B1450" t="s">
        <v>1446</v>
      </c>
      <c r="C1450">
        <v>19</v>
      </c>
      <c r="D1450">
        <v>0</v>
      </c>
      <c r="E1450">
        <v>1</v>
      </c>
      <c r="F1450">
        <v>0</v>
      </c>
      <c r="G1450">
        <v>0</v>
      </c>
      <c r="H1450">
        <v>3</v>
      </c>
      <c r="I1450">
        <v>3</v>
      </c>
      <c r="J1450">
        <v>13</v>
      </c>
      <c r="K1450">
        <f t="shared" si="24"/>
        <v>3</v>
      </c>
    </row>
    <row r="1451" spans="2:11" x14ac:dyDescent="0.35">
      <c r="B1451" t="s">
        <v>1447</v>
      </c>
      <c r="C1451">
        <v>142</v>
      </c>
      <c r="D1451">
        <v>3</v>
      </c>
      <c r="E1451">
        <v>0</v>
      </c>
      <c r="F1451">
        <v>0</v>
      </c>
      <c r="G1451">
        <v>28</v>
      </c>
      <c r="H1451">
        <v>26</v>
      </c>
      <c r="I1451">
        <v>20</v>
      </c>
      <c r="J1451">
        <v>66</v>
      </c>
      <c r="K1451">
        <f t="shared" si="24"/>
        <v>4</v>
      </c>
    </row>
    <row r="1452" spans="2:11" x14ac:dyDescent="0.35">
      <c r="B1452" t="s">
        <v>1448</v>
      </c>
      <c r="C1452">
        <v>105</v>
      </c>
      <c r="D1452">
        <v>3</v>
      </c>
      <c r="E1452">
        <v>0</v>
      </c>
      <c r="F1452">
        <v>0</v>
      </c>
      <c r="G1452">
        <v>10</v>
      </c>
      <c r="H1452">
        <v>13</v>
      </c>
      <c r="I1452">
        <v>41</v>
      </c>
      <c r="J1452">
        <v>39</v>
      </c>
      <c r="K1452">
        <f t="shared" si="24"/>
        <v>4</v>
      </c>
    </row>
    <row r="1453" spans="2:11" x14ac:dyDescent="0.35">
      <c r="B1453" t="s">
        <v>1449</v>
      </c>
      <c r="C1453">
        <v>30</v>
      </c>
      <c r="D1453">
        <v>3</v>
      </c>
      <c r="E1453">
        <v>0</v>
      </c>
      <c r="F1453">
        <v>0</v>
      </c>
      <c r="G1453">
        <v>0</v>
      </c>
      <c r="H1453">
        <v>15</v>
      </c>
      <c r="I1453">
        <v>5</v>
      </c>
      <c r="J1453">
        <v>8</v>
      </c>
      <c r="K1453">
        <f t="shared" si="24"/>
        <v>3</v>
      </c>
    </row>
    <row r="1454" spans="2:11" x14ac:dyDescent="0.35">
      <c r="B1454" t="s">
        <v>1450</v>
      </c>
      <c r="C1454">
        <v>11</v>
      </c>
      <c r="D1454">
        <v>1</v>
      </c>
      <c r="E1454">
        <v>0</v>
      </c>
      <c r="F1454">
        <v>0</v>
      </c>
      <c r="G1454">
        <v>0</v>
      </c>
      <c r="H1454">
        <v>1</v>
      </c>
      <c r="I1454">
        <v>5</v>
      </c>
      <c r="J1454">
        <v>5</v>
      </c>
      <c r="K1454">
        <f t="shared" si="24"/>
        <v>3</v>
      </c>
    </row>
    <row r="1455" spans="2:11" x14ac:dyDescent="0.35">
      <c r="B1455" t="s">
        <v>1451</v>
      </c>
      <c r="C1455">
        <v>38</v>
      </c>
      <c r="D1455">
        <v>1</v>
      </c>
      <c r="E1455">
        <v>0</v>
      </c>
      <c r="F1455">
        <v>1</v>
      </c>
      <c r="G1455">
        <v>0</v>
      </c>
      <c r="H1455">
        <v>3</v>
      </c>
      <c r="I1455">
        <v>25</v>
      </c>
      <c r="J1455">
        <v>9</v>
      </c>
      <c r="K1455">
        <f t="shared" si="24"/>
        <v>4</v>
      </c>
    </row>
    <row r="1456" spans="2:11" x14ac:dyDescent="0.35">
      <c r="B1456" t="s">
        <v>1452</v>
      </c>
      <c r="C1456">
        <v>53</v>
      </c>
      <c r="D1456">
        <v>3</v>
      </c>
      <c r="E1456">
        <v>0</v>
      </c>
      <c r="F1456">
        <v>0</v>
      </c>
      <c r="G1456">
        <v>0</v>
      </c>
      <c r="H1456">
        <v>1</v>
      </c>
      <c r="I1456">
        <v>23</v>
      </c>
      <c r="J1456">
        <v>27</v>
      </c>
      <c r="K1456">
        <f t="shared" si="24"/>
        <v>3</v>
      </c>
    </row>
    <row r="1457" spans="2:11" x14ac:dyDescent="0.35">
      <c r="B1457" t="s">
        <v>1453</v>
      </c>
      <c r="C1457">
        <v>87</v>
      </c>
      <c r="D1457">
        <v>3</v>
      </c>
      <c r="E1457">
        <v>0</v>
      </c>
      <c r="F1457">
        <v>9</v>
      </c>
      <c r="G1457">
        <v>1</v>
      </c>
      <c r="H1457">
        <v>9</v>
      </c>
      <c r="I1457">
        <v>21</v>
      </c>
      <c r="J1457">
        <v>45</v>
      </c>
      <c r="K1457">
        <f t="shared" si="24"/>
        <v>5</v>
      </c>
    </row>
    <row r="1458" spans="2:11" x14ac:dyDescent="0.35">
      <c r="B1458" t="s">
        <v>1454</v>
      </c>
      <c r="C1458">
        <v>19</v>
      </c>
      <c r="D1458">
        <v>3</v>
      </c>
      <c r="E1458">
        <v>0</v>
      </c>
      <c r="F1458">
        <v>0</v>
      </c>
      <c r="G1458">
        <v>0</v>
      </c>
      <c r="H1458">
        <v>3</v>
      </c>
      <c r="I1458">
        <v>9</v>
      </c>
      <c r="J1458">
        <v>5</v>
      </c>
      <c r="K1458">
        <f t="shared" si="24"/>
        <v>3</v>
      </c>
    </row>
    <row r="1459" spans="2:11" x14ac:dyDescent="0.35">
      <c r="B1459" t="s">
        <v>1455</v>
      </c>
      <c r="C1459">
        <v>15</v>
      </c>
      <c r="D1459">
        <v>3</v>
      </c>
      <c r="E1459">
        <v>0</v>
      </c>
      <c r="F1459">
        <v>0</v>
      </c>
      <c r="G1459">
        <v>0</v>
      </c>
      <c r="H1459">
        <v>2</v>
      </c>
      <c r="I1459">
        <v>5</v>
      </c>
      <c r="J1459">
        <v>6</v>
      </c>
      <c r="K1459">
        <f t="shared" si="24"/>
        <v>3</v>
      </c>
    </row>
    <row r="1460" spans="2:11" x14ac:dyDescent="0.35">
      <c r="B1460" t="s">
        <v>1456</v>
      </c>
      <c r="C1460">
        <v>42</v>
      </c>
      <c r="D1460">
        <v>0</v>
      </c>
      <c r="E1460">
        <v>0</v>
      </c>
      <c r="F1460">
        <v>0</v>
      </c>
      <c r="G1460">
        <v>1</v>
      </c>
      <c r="H1460">
        <v>10</v>
      </c>
      <c r="I1460">
        <v>20</v>
      </c>
      <c r="J1460">
        <v>12</v>
      </c>
      <c r="K1460">
        <f t="shared" si="24"/>
        <v>3</v>
      </c>
    </row>
    <row r="1461" spans="2:11" x14ac:dyDescent="0.35">
      <c r="B1461" t="s">
        <v>1457</v>
      </c>
      <c r="C1461">
        <v>54</v>
      </c>
      <c r="D1461">
        <v>6</v>
      </c>
      <c r="E1461">
        <v>0</v>
      </c>
      <c r="F1461">
        <v>0</v>
      </c>
      <c r="G1461">
        <v>6</v>
      </c>
      <c r="H1461">
        <v>3</v>
      </c>
      <c r="I1461">
        <v>27</v>
      </c>
      <c r="J1461">
        <v>13</v>
      </c>
      <c r="K1461">
        <f t="shared" si="24"/>
        <v>4</v>
      </c>
    </row>
    <row r="1462" spans="2:11" x14ac:dyDescent="0.35">
      <c r="B1462" t="s">
        <v>1458</v>
      </c>
      <c r="C1462">
        <v>108</v>
      </c>
      <c r="D1462">
        <v>8</v>
      </c>
      <c r="E1462">
        <v>0</v>
      </c>
      <c r="F1462">
        <v>0</v>
      </c>
      <c r="G1462">
        <v>2</v>
      </c>
      <c r="H1462">
        <v>16</v>
      </c>
      <c r="I1462">
        <v>40</v>
      </c>
      <c r="J1462">
        <v>43</v>
      </c>
      <c r="K1462">
        <f t="shared" si="24"/>
        <v>4</v>
      </c>
    </row>
    <row r="1463" spans="2:11" x14ac:dyDescent="0.35">
      <c r="B1463" t="s">
        <v>1459</v>
      </c>
      <c r="C1463">
        <v>30</v>
      </c>
      <c r="D1463">
        <v>6</v>
      </c>
      <c r="E1463">
        <v>0</v>
      </c>
      <c r="F1463">
        <v>0</v>
      </c>
      <c r="G1463">
        <v>5</v>
      </c>
      <c r="H1463">
        <v>2</v>
      </c>
      <c r="I1463">
        <v>8</v>
      </c>
      <c r="J1463">
        <v>10</v>
      </c>
      <c r="K1463">
        <f t="shared" si="24"/>
        <v>4</v>
      </c>
    </row>
    <row r="1464" spans="2:11" x14ac:dyDescent="0.35">
      <c r="B1464" t="s">
        <v>1460</v>
      </c>
      <c r="C1464">
        <v>6</v>
      </c>
      <c r="D1464">
        <v>1</v>
      </c>
      <c r="E1464">
        <v>0</v>
      </c>
      <c r="F1464">
        <v>0</v>
      </c>
      <c r="G1464">
        <v>0</v>
      </c>
      <c r="H1464">
        <v>0</v>
      </c>
      <c r="I1464">
        <v>2</v>
      </c>
      <c r="J1464">
        <v>4</v>
      </c>
      <c r="K1464">
        <f t="shared" si="24"/>
        <v>2</v>
      </c>
    </row>
    <row r="1465" spans="2:11" x14ac:dyDescent="0.35">
      <c r="B1465" t="s">
        <v>1461</v>
      </c>
      <c r="C1465">
        <v>22</v>
      </c>
      <c r="D1465">
        <v>0</v>
      </c>
      <c r="E1465">
        <v>0</v>
      </c>
      <c r="F1465">
        <v>0</v>
      </c>
      <c r="G1465">
        <v>0</v>
      </c>
      <c r="H1465">
        <v>1</v>
      </c>
      <c r="I1465">
        <v>4</v>
      </c>
      <c r="J1465">
        <v>18</v>
      </c>
      <c r="K1465">
        <f t="shared" si="24"/>
        <v>2</v>
      </c>
    </row>
    <row r="1466" spans="2:11" x14ac:dyDescent="0.35">
      <c r="B1466" t="s">
        <v>1462</v>
      </c>
      <c r="C1466">
        <v>13</v>
      </c>
      <c r="D1466">
        <v>1</v>
      </c>
      <c r="E1466">
        <v>0</v>
      </c>
      <c r="F1466">
        <v>0</v>
      </c>
      <c r="G1466">
        <v>0</v>
      </c>
      <c r="H1466">
        <v>5</v>
      </c>
      <c r="I1466">
        <v>2</v>
      </c>
      <c r="J1466">
        <v>6</v>
      </c>
      <c r="K1466">
        <f t="shared" si="24"/>
        <v>3</v>
      </c>
    </row>
    <row r="1467" spans="2:11" x14ac:dyDescent="0.35">
      <c r="B1467" t="s">
        <v>1463</v>
      </c>
      <c r="C1467">
        <v>136</v>
      </c>
      <c r="D1467">
        <v>6</v>
      </c>
      <c r="E1467">
        <v>1</v>
      </c>
      <c r="F1467">
        <v>1</v>
      </c>
      <c r="G1467">
        <v>2</v>
      </c>
      <c r="H1467">
        <v>12</v>
      </c>
      <c r="I1467">
        <v>51</v>
      </c>
      <c r="J1467">
        <v>64</v>
      </c>
      <c r="K1467">
        <f t="shared" si="24"/>
        <v>6</v>
      </c>
    </row>
    <row r="1468" spans="2:11" x14ac:dyDescent="0.35">
      <c r="B1468" t="s">
        <v>1464</v>
      </c>
      <c r="C1468">
        <v>53</v>
      </c>
      <c r="D1468">
        <v>3</v>
      </c>
      <c r="E1468">
        <v>0</v>
      </c>
      <c r="F1468">
        <v>3</v>
      </c>
      <c r="G1468">
        <v>3</v>
      </c>
      <c r="H1468">
        <v>2</v>
      </c>
      <c r="I1468">
        <v>21</v>
      </c>
      <c r="J1468">
        <v>22</v>
      </c>
      <c r="K1468">
        <f t="shared" si="24"/>
        <v>5</v>
      </c>
    </row>
    <row r="1469" spans="2:11" x14ac:dyDescent="0.35">
      <c r="B1469" t="s">
        <v>1465</v>
      </c>
      <c r="C1469">
        <v>31</v>
      </c>
      <c r="D1469">
        <v>0</v>
      </c>
      <c r="E1469">
        <v>0</v>
      </c>
      <c r="F1469">
        <v>0</v>
      </c>
      <c r="G1469">
        <v>1</v>
      </c>
      <c r="H1469">
        <v>1</v>
      </c>
      <c r="I1469">
        <v>3</v>
      </c>
      <c r="J1469">
        <v>27</v>
      </c>
      <c r="K1469">
        <f t="shared" si="24"/>
        <v>3</v>
      </c>
    </row>
    <row r="1470" spans="2:11" x14ac:dyDescent="0.35">
      <c r="B1470" t="s">
        <v>1466</v>
      </c>
      <c r="C1470">
        <v>82</v>
      </c>
      <c r="D1470">
        <v>2</v>
      </c>
      <c r="E1470">
        <v>1</v>
      </c>
      <c r="F1470">
        <v>0</v>
      </c>
      <c r="G1470">
        <v>3</v>
      </c>
      <c r="H1470">
        <v>6</v>
      </c>
      <c r="I1470">
        <v>27</v>
      </c>
      <c r="J1470">
        <v>44</v>
      </c>
      <c r="K1470">
        <f t="shared" si="24"/>
        <v>5</v>
      </c>
    </row>
    <row r="1471" spans="2:11" x14ac:dyDescent="0.35">
      <c r="B1471" t="s">
        <v>1467</v>
      </c>
      <c r="C1471">
        <v>51</v>
      </c>
      <c r="D1471">
        <v>2</v>
      </c>
      <c r="E1471">
        <v>0</v>
      </c>
      <c r="F1471">
        <v>0</v>
      </c>
      <c r="G1471">
        <v>4</v>
      </c>
      <c r="H1471">
        <v>3</v>
      </c>
      <c r="I1471">
        <v>11</v>
      </c>
      <c r="J1471">
        <v>32</v>
      </c>
      <c r="K1471">
        <f t="shared" si="24"/>
        <v>4</v>
      </c>
    </row>
    <row r="1472" spans="2:11" x14ac:dyDescent="0.35">
      <c r="B1472" t="s">
        <v>1468</v>
      </c>
      <c r="C1472">
        <v>2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</v>
      </c>
      <c r="K1472">
        <f t="shared" si="24"/>
        <v>0</v>
      </c>
    </row>
    <row r="1473" spans="2:11" x14ac:dyDescent="0.35">
      <c r="B1473" t="s">
        <v>1469</v>
      </c>
      <c r="C1473">
        <v>6</v>
      </c>
      <c r="D1473">
        <v>0</v>
      </c>
      <c r="E1473">
        <v>0</v>
      </c>
      <c r="F1473">
        <v>0</v>
      </c>
      <c r="G1473">
        <v>0</v>
      </c>
      <c r="H1473">
        <v>1</v>
      </c>
      <c r="I1473">
        <v>3</v>
      </c>
      <c r="J1473">
        <v>3</v>
      </c>
      <c r="K1473">
        <f t="shared" si="24"/>
        <v>2</v>
      </c>
    </row>
    <row r="1474" spans="2:11" x14ac:dyDescent="0.35">
      <c r="B1474" t="s">
        <v>1470</v>
      </c>
      <c r="C1474">
        <v>16</v>
      </c>
      <c r="D1474">
        <v>0</v>
      </c>
      <c r="E1474">
        <v>1</v>
      </c>
      <c r="F1474">
        <v>1</v>
      </c>
      <c r="G1474">
        <v>2</v>
      </c>
      <c r="H1474">
        <v>2</v>
      </c>
      <c r="I1474">
        <v>5</v>
      </c>
      <c r="J1474">
        <v>6</v>
      </c>
      <c r="K1474">
        <f t="shared" si="24"/>
        <v>5</v>
      </c>
    </row>
    <row r="1475" spans="2:11" x14ac:dyDescent="0.35">
      <c r="B1475" t="s">
        <v>1471</v>
      </c>
      <c r="C1475">
        <v>16</v>
      </c>
      <c r="D1475">
        <v>1</v>
      </c>
      <c r="E1475">
        <v>0</v>
      </c>
      <c r="F1475">
        <v>0</v>
      </c>
      <c r="G1475">
        <v>0</v>
      </c>
      <c r="H1475">
        <v>1</v>
      </c>
      <c r="I1475">
        <v>10</v>
      </c>
      <c r="J1475">
        <v>5</v>
      </c>
      <c r="K1475">
        <f t="shared" si="24"/>
        <v>3</v>
      </c>
    </row>
    <row r="1476" spans="2:11" x14ac:dyDescent="0.35">
      <c r="B1476" t="s">
        <v>1472</v>
      </c>
      <c r="C1476">
        <v>11</v>
      </c>
      <c r="D1476">
        <v>3</v>
      </c>
      <c r="E1476">
        <v>0</v>
      </c>
      <c r="F1476">
        <v>0</v>
      </c>
      <c r="G1476">
        <v>0</v>
      </c>
      <c r="H1476">
        <v>2</v>
      </c>
      <c r="I1476">
        <v>1</v>
      </c>
      <c r="J1476">
        <v>6</v>
      </c>
      <c r="K1476">
        <f t="shared" si="24"/>
        <v>3</v>
      </c>
    </row>
    <row r="1477" spans="2:11" x14ac:dyDescent="0.35">
      <c r="B1477" t="s">
        <v>1473</v>
      </c>
      <c r="C1477">
        <v>15</v>
      </c>
      <c r="D1477">
        <v>0</v>
      </c>
      <c r="E1477">
        <v>0</v>
      </c>
      <c r="F1477">
        <v>0</v>
      </c>
      <c r="G1477">
        <v>0</v>
      </c>
      <c r="H1477">
        <v>1</v>
      </c>
      <c r="I1477">
        <v>12</v>
      </c>
      <c r="J1477">
        <v>3</v>
      </c>
      <c r="K1477">
        <f t="shared" si="24"/>
        <v>2</v>
      </c>
    </row>
    <row r="1478" spans="2:11" x14ac:dyDescent="0.35">
      <c r="B1478" t="s">
        <v>1474</v>
      </c>
      <c r="C1478">
        <v>15</v>
      </c>
      <c r="D1478">
        <v>0</v>
      </c>
      <c r="E1478">
        <v>0</v>
      </c>
      <c r="F1478">
        <v>0</v>
      </c>
      <c r="G1478">
        <v>1</v>
      </c>
      <c r="H1478">
        <v>4</v>
      </c>
      <c r="I1478">
        <v>6</v>
      </c>
      <c r="J1478">
        <v>5</v>
      </c>
      <c r="K1478">
        <f t="shared" si="24"/>
        <v>3</v>
      </c>
    </row>
    <row r="1479" spans="2:11" x14ac:dyDescent="0.35">
      <c r="B1479" t="s">
        <v>1475</v>
      </c>
      <c r="C1479">
        <v>25</v>
      </c>
      <c r="D1479">
        <v>1</v>
      </c>
      <c r="E1479">
        <v>1</v>
      </c>
      <c r="F1479">
        <v>1</v>
      </c>
      <c r="G1479">
        <v>0</v>
      </c>
      <c r="H1479">
        <v>0</v>
      </c>
      <c r="I1479">
        <v>3</v>
      </c>
      <c r="J1479">
        <v>20</v>
      </c>
      <c r="K1479">
        <f t="shared" si="24"/>
        <v>4</v>
      </c>
    </row>
    <row r="1480" spans="2:11" x14ac:dyDescent="0.35">
      <c r="B1480" t="s">
        <v>1476</v>
      </c>
      <c r="C1480">
        <v>46</v>
      </c>
      <c r="D1480">
        <v>2</v>
      </c>
      <c r="E1480">
        <v>1</v>
      </c>
      <c r="F1480">
        <v>0</v>
      </c>
      <c r="G1480">
        <v>0</v>
      </c>
      <c r="H1480">
        <v>15</v>
      </c>
      <c r="I1480">
        <v>8</v>
      </c>
      <c r="J1480">
        <v>21</v>
      </c>
      <c r="K1480">
        <f t="shared" si="24"/>
        <v>4</v>
      </c>
    </row>
    <row r="1481" spans="2:11" x14ac:dyDescent="0.35">
      <c r="B1481" t="s">
        <v>1477</v>
      </c>
      <c r="C1481">
        <v>9</v>
      </c>
      <c r="D1481">
        <v>1</v>
      </c>
      <c r="E1481">
        <v>0</v>
      </c>
      <c r="F1481">
        <v>0</v>
      </c>
      <c r="G1481">
        <v>1</v>
      </c>
      <c r="H1481">
        <v>0</v>
      </c>
      <c r="I1481">
        <v>2</v>
      </c>
      <c r="J1481">
        <v>6</v>
      </c>
      <c r="K1481">
        <f t="shared" si="24"/>
        <v>3</v>
      </c>
    </row>
    <row r="1482" spans="2:11" x14ac:dyDescent="0.35">
      <c r="B1482" t="s">
        <v>1478</v>
      </c>
      <c r="C1482">
        <v>70</v>
      </c>
      <c r="D1482">
        <v>5</v>
      </c>
      <c r="E1482">
        <v>0</v>
      </c>
      <c r="F1482">
        <v>1</v>
      </c>
      <c r="G1482">
        <v>0</v>
      </c>
      <c r="H1482">
        <v>6</v>
      </c>
      <c r="I1482">
        <v>22</v>
      </c>
      <c r="J1482">
        <v>37</v>
      </c>
      <c r="K1482">
        <f t="shared" si="24"/>
        <v>4</v>
      </c>
    </row>
    <row r="1483" spans="2:11" x14ac:dyDescent="0.35">
      <c r="B1483" t="s">
        <v>1479</v>
      </c>
      <c r="C1483">
        <v>64</v>
      </c>
      <c r="D1483">
        <v>2</v>
      </c>
      <c r="E1483">
        <v>0</v>
      </c>
      <c r="F1483">
        <v>0</v>
      </c>
      <c r="G1483">
        <v>0</v>
      </c>
      <c r="H1483">
        <v>3</v>
      </c>
      <c r="I1483">
        <v>9</v>
      </c>
      <c r="J1483">
        <v>51</v>
      </c>
      <c r="K1483">
        <f t="shared" si="24"/>
        <v>3</v>
      </c>
    </row>
    <row r="1484" spans="2:11" x14ac:dyDescent="0.35">
      <c r="B1484" t="s">
        <v>1480</v>
      </c>
      <c r="C1484">
        <v>25</v>
      </c>
      <c r="D1484">
        <v>1</v>
      </c>
      <c r="E1484">
        <v>1</v>
      </c>
      <c r="F1484">
        <v>1</v>
      </c>
      <c r="G1484">
        <v>0</v>
      </c>
      <c r="H1484">
        <v>0</v>
      </c>
      <c r="I1484">
        <v>3</v>
      </c>
      <c r="J1484">
        <v>20</v>
      </c>
      <c r="K1484">
        <f t="shared" ref="K1484:K1547" si="25">COUNTIF(D1484:I1484, "&gt;0")</f>
        <v>4</v>
      </c>
    </row>
    <row r="1485" spans="2:11" x14ac:dyDescent="0.35">
      <c r="B1485" t="s">
        <v>1481</v>
      </c>
      <c r="C1485">
        <v>40</v>
      </c>
      <c r="D1485">
        <v>5</v>
      </c>
      <c r="E1485">
        <v>0</v>
      </c>
      <c r="F1485">
        <v>1</v>
      </c>
      <c r="G1485">
        <v>1</v>
      </c>
      <c r="H1485">
        <v>0</v>
      </c>
      <c r="I1485">
        <v>14</v>
      </c>
      <c r="J1485">
        <v>20</v>
      </c>
      <c r="K1485">
        <f t="shared" si="25"/>
        <v>4</v>
      </c>
    </row>
    <row r="1486" spans="2:11" x14ac:dyDescent="0.35">
      <c r="B1486" t="s">
        <v>1482</v>
      </c>
      <c r="C1486">
        <v>18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2</v>
      </c>
      <c r="J1486">
        <v>17</v>
      </c>
      <c r="K1486">
        <f t="shared" si="25"/>
        <v>1</v>
      </c>
    </row>
    <row r="1487" spans="2:11" x14ac:dyDescent="0.35">
      <c r="B1487" t="s">
        <v>1483</v>
      </c>
      <c r="C1487">
        <v>25</v>
      </c>
      <c r="D1487">
        <v>0</v>
      </c>
      <c r="E1487">
        <v>0</v>
      </c>
      <c r="F1487">
        <v>0</v>
      </c>
      <c r="G1487">
        <v>0</v>
      </c>
      <c r="H1487">
        <v>1</v>
      </c>
      <c r="I1487">
        <v>3</v>
      </c>
      <c r="J1487">
        <v>22</v>
      </c>
      <c r="K1487">
        <f t="shared" si="25"/>
        <v>2</v>
      </c>
    </row>
    <row r="1488" spans="2:11" x14ac:dyDescent="0.35">
      <c r="B1488" t="s">
        <v>1484</v>
      </c>
      <c r="C1488">
        <v>25</v>
      </c>
      <c r="D1488">
        <v>1</v>
      </c>
      <c r="E1488">
        <v>0</v>
      </c>
      <c r="F1488">
        <v>0</v>
      </c>
      <c r="G1488">
        <v>13</v>
      </c>
      <c r="H1488">
        <v>2</v>
      </c>
      <c r="I1488">
        <v>1</v>
      </c>
      <c r="J1488">
        <v>9</v>
      </c>
      <c r="K1488">
        <f t="shared" si="25"/>
        <v>4</v>
      </c>
    </row>
    <row r="1489" spans="2:11" x14ac:dyDescent="0.35">
      <c r="B1489" t="s">
        <v>1485</v>
      </c>
      <c r="C1489">
        <v>12</v>
      </c>
      <c r="D1489">
        <v>2</v>
      </c>
      <c r="E1489">
        <v>0</v>
      </c>
      <c r="F1489">
        <v>0</v>
      </c>
      <c r="G1489">
        <v>0</v>
      </c>
      <c r="H1489">
        <v>1</v>
      </c>
      <c r="I1489">
        <v>4</v>
      </c>
      <c r="J1489">
        <v>6</v>
      </c>
      <c r="K1489">
        <f t="shared" si="25"/>
        <v>3</v>
      </c>
    </row>
    <row r="1490" spans="2:11" x14ac:dyDescent="0.35">
      <c r="B1490" t="s">
        <v>1486</v>
      </c>
      <c r="C1490">
        <v>42</v>
      </c>
      <c r="D1490">
        <v>1</v>
      </c>
      <c r="E1490">
        <v>0</v>
      </c>
      <c r="F1490">
        <v>5</v>
      </c>
      <c r="G1490">
        <v>0</v>
      </c>
      <c r="H1490">
        <v>1</v>
      </c>
      <c r="I1490">
        <v>7</v>
      </c>
      <c r="J1490">
        <v>29</v>
      </c>
      <c r="K1490">
        <f t="shared" si="25"/>
        <v>4</v>
      </c>
    </row>
    <row r="1491" spans="2:11" x14ac:dyDescent="0.35">
      <c r="B1491" t="s">
        <v>1487</v>
      </c>
      <c r="C1491">
        <v>28</v>
      </c>
      <c r="D1491">
        <v>6</v>
      </c>
      <c r="E1491">
        <v>0</v>
      </c>
      <c r="F1491">
        <v>0</v>
      </c>
      <c r="G1491">
        <v>6</v>
      </c>
      <c r="H1491">
        <v>4</v>
      </c>
      <c r="I1491">
        <v>5</v>
      </c>
      <c r="J1491">
        <v>8</v>
      </c>
      <c r="K1491">
        <f t="shared" si="25"/>
        <v>4</v>
      </c>
    </row>
    <row r="1492" spans="2:11" x14ac:dyDescent="0.35">
      <c r="B1492" t="s">
        <v>1488</v>
      </c>
      <c r="C1492">
        <v>11</v>
      </c>
      <c r="D1492">
        <v>0</v>
      </c>
      <c r="E1492">
        <v>0</v>
      </c>
      <c r="F1492">
        <v>1</v>
      </c>
      <c r="G1492">
        <v>0</v>
      </c>
      <c r="H1492">
        <v>0</v>
      </c>
      <c r="I1492">
        <v>7</v>
      </c>
      <c r="J1492">
        <v>4</v>
      </c>
      <c r="K1492">
        <f t="shared" si="25"/>
        <v>2</v>
      </c>
    </row>
    <row r="1493" spans="2:11" x14ac:dyDescent="0.35">
      <c r="B1493" t="s">
        <v>1489</v>
      </c>
      <c r="C1493">
        <v>11</v>
      </c>
      <c r="D1493">
        <v>3</v>
      </c>
      <c r="E1493">
        <v>0</v>
      </c>
      <c r="F1493">
        <v>0</v>
      </c>
      <c r="G1493">
        <v>0</v>
      </c>
      <c r="H1493">
        <v>0</v>
      </c>
      <c r="I1493">
        <v>2</v>
      </c>
      <c r="J1493">
        <v>7</v>
      </c>
      <c r="K1493">
        <f t="shared" si="25"/>
        <v>2</v>
      </c>
    </row>
    <row r="1494" spans="2:11" x14ac:dyDescent="0.35">
      <c r="B1494" t="s">
        <v>1490</v>
      </c>
      <c r="C1494">
        <v>33</v>
      </c>
      <c r="D1494">
        <v>9</v>
      </c>
      <c r="E1494">
        <v>0</v>
      </c>
      <c r="F1494">
        <v>1</v>
      </c>
      <c r="G1494">
        <v>0</v>
      </c>
      <c r="H1494">
        <v>6</v>
      </c>
      <c r="I1494">
        <v>13</v>
      </c>
      <c r="J1494">
        <v>5</v>
      </c>
      <c r="K1494">
        <f t="shared" si="25"/>
        <v>4</v>
      </c>
    </row>
    <row r="1495" spans="2:11" x14ac:dyDescent="0.35">
      <c r="B1495" t="s">
        <v>1491</v>
      </c>
      <c r="C1495">
        <v>56</v>
      </c>
      <c r="D1495">
        <v>3</v>
      </c>
      <c r="E1495">
        <v>0</v>
      </c>
      <c r="F1495">
        <v>0</v>
      </c>
      <c r="G1495">
        <v>1</v>
      </c>
      <c r="H1495">
        <v>3</v>
      </c>
      <c r="I1495">
        <v>24</v>
      </c>
      <c r="J1495">
        <v>26</v>
      </c>
      <c r="K1495">
        <f t="shared" si="25"/>
        <v>4</v>
      </c>
    </row>
    <row r="1496" spans="2:11" x14ac:dyDescent="0.35">
      <c r="B1496" t="s">
        <v>1492</v>
      </c>
      <c r="C1496">
        <v>17</v>
      </c>
      <c r="D1496">
        <v>0</v>
      </c>
      <c r="E1496">
        <v>0</v>
      </c>
      <c r="F1496">
        <v>0</v>
      </c>
      <c r="G1496">
        <v>0</v>
      </c>
      <c r="H1496">
        <v>2</v>
      </c>
      <c r="I1496">
        <v>9</v>
      </c>
      <c r="J1496">
        <v>7</v>
      </c>
      <c r="K1496">
        <f t="shared" si="25"/>
        <v>2</v>
      </c>
    </row>
    <row r="1497" spans="2:11" x14ac:dyDescent="0.35">
      <c r="B1497" t="s">
        <v>1493</v>
      </c>
      <c r="C1497">
        <v>11</v>
      </c>
      <c r="D1497">
        <v>1</v>
      </c>
      <c r="E1497">
        <v>0</v>
      </c>
      <c r="F1497">
        <v>0</v>
      </c>
      <c r="G1497">
        <v>1</v>
      </c>
      <c r="H1497">
        <v>0</v>
      </c>
      <c r="I1497">
        <v>3</v>
      </c>
      <c r="J1497">
        <v>7</v>
      </c>
      <c r="K1497">
        <f t="shared" si="25"/>
        <v>3</v>
      </c>
    </row>
    <row r="1498" spans="2:11" x14ac:dyDescent="0.35">
      <c r="B1498" t="s">
        <v>1494</v>
      </c>
      <c r="C1498">
        <v>10</v>
      </c>
      <c r="D1498">
        <v>1</v>
      </c>
      <c r="E1498">
        <v>0</v>
      </c>
      <c r="F1498">
        <v>0</v>
      </c>
      <c r="G1498">
        <v>0</v>
      </c>
      <c r="H1498">
        <v>1</v>
      </c>
      <c r="I1498">
        <v>2</v>
      </c>
      <c r="J1498">
        <v>7</v>
      </c>
      <c r="K1498">
        <f t="shared" si="25"/>
        <v>3</v>
      </c>
    </row>
    <row r="1499" spans="2:11" x14ac:dyDescent="0.35">
      <c r="B1499" t="s">
        <v>1495</v>
      </c>
      <c r="C1499">
        <v>49</v>
      </c>
      <c r="D1499">
        <v>3</v>
      </c>
      <c r="E1499">
        <v>0</v>
      </c>
      <c r="F1499">
        <v>0</v>
      </c>
      <c r="G1499">
        <v>5</v>
      </c>
      <c r="H1499">
        <v>3</v>
      </c>
      <c r="I1499">
        <v>12</v>
      </c>
      <c r="J1499">
        <v>27</v>
      </c>
      <c r="K1499">
        <f t="shared" si="25"/>
        <v>4</v>
      </c>
    </row>
    <row r="1500" spans="2:11" x14ac:dyDescent="0.35">
      <c r="B1500" t="s">
        <v>1496</v>
      </c>
      <c r="C1500">
        <v>7</v>
      </c>
      <c r="D1500">
        <v>1</v>
      </c>
      <c r="E1500">
        <v>0</v>
      </c>
      <c r="F1500">
        <v>0</v>
      </c>
      <c r="G1500">
        <v>1</v>
      </c>
      <c r="H1500">
        <v>0</v>
      </c>
      <c r="I1500">
        <v>4</v>
      </c>
      <c r="J1500">
        <v>2</v>
      </c>
      <c r="K1500">
        <f t="shared" si="25"/>
        <v>3</v>
      </c>
    </row>
    <row r="1501" spans="2:11" x14ac:dyDescent="0.35">
      <c r="B1501" t="s">
        <v>1497</v>
      </c>
      <c r="C1501">
        <v>21</v>
      </c>
      <c r="D1501">
        <v>0</v>
      </c>
      <c r="E1501">
        <v>0</v>
      </c>
      <c r="F1501">
        <v>0</v>
      </c>
      <c r="G1501">
        <v>5</v>
      </c>
      <c r="H1501">
        <v>1</v>
      </c>
      <c r="I1501">
        <v>7</v>
      </c>
      <c r="J1501">
        <v>9</v>
      </c>
      <c r="K1501">
        <f t="shared" si="25"/>
        <v>3</v>
      </c>
    </row>
    <row r="1502" spans="2:11" x14ac:dyDescent="0.35">
      <c r="B1502" t="s">
        <v>1498</v>
      </c>
      <c r="C1502">
        <v>8</v>
      </c>
      <c r="D1502">
        <v>1</v>
      </c>
      <c r="E1502">
        <v>0</v>
      </c>
      <c r="F1502">
        <v>0</v>
      </c>
      <c r="G1502">
        <v>0</v>
      </c>
      <c r="H1502">
        <v>1</v>
      </c>
      <c r="I1502">
        <v>3</v>
      </c>
      <c r="J1502">
        <v>4</v>
      </c>
      <c r="K1502">
        <f t="shared" si="25"/>
        <v>3</v>
      </c>
    </row>
    <row r="1503" spans="2:11" x14ac:dyDescent="0.35">
      <c r="B1503" t="s">
        <v>1499</v>
      </c>
      <c r="C1503">
        <v>7</v>
      </c>
      <c r="D1503">
        <v>0</v>
      </c>
      <c r="E1503">
        <v>0</v>
      </c>
      <c r="F1503">
        <v>0</v>
      </c>
      <c r="G1503">
        <v>1</v>
      </c>
      <c r="H1503">
        <v>0</v>
      </c>
      <c r="I1503">
        <v>0</v>
      </c>
      <c r="J1503">
        <v>7</v>
      </c>
      <c r="K1503">
        <f t="shared" si="25"/>
        <v>1</v>
      </c>
    </row>
    <row r="1504" spans="2:11" x14ac:dyDescent="0.35">
      <c r="B1504" t="s">
        <v>1500</v>
      </c>
      <c r="C1504">
        <v>23</v>
      </c>
      <c r="D1504">
        <v>1</v>
      </c>
      <c r="E1504">
        <v>0</v>
      </c>
      <c r="F1504">
        <v>0</v>
      </c>
      <c r="G1504">
        <v>0</v>
      </c>
      <c r="H1504">
        <v>3</v>
      </c>
      <c r="I1504">
        <v>15</v>
      </c>
      <c r="J1504">
        <v>5</v>
      </c>
      <c r="K1504">
        <f t="shared" si="25"/>
        <v>3</v>
      </c>
    </row>
    <row r="1505" spans="2:11" x14ac:dyDescent="0.35">
      <c r="B1505" t="s">
        <v>1501</v>
      </c>
      <c r="C1505">
        <v>7</v>
      </c>
      <c r="D1505">
        <v>2</v>
      </c>
      <c r="E1505">
        <v>0</v>
      </c>
      <c r="F1505">
        <v>0</v>
      </c>
      <c r="G1505">
        <v>1</v>
      </c>
      <c r="H1505">
        <v>0</v>
      </c>
      <c r="I1505">
        <v>2</v>
      </c>
      <c r="J1505">
        <v>3</v>
      </c>
      <c r="K1505">
        <f t="shared" si="25"/>
        <v>3</v>
      </c>
    </row>
    <row r="1506" spans="2:11" x14ac:dyDescent="0.35">
      <c r="B1506" t="s">
        <v>1502</v>
      </c>
      <c r="C1506">
        <v>26</v>
      </c>
      <c r="D1506">
        <v>1</v>
      </c>
      <c r="E1506">
        <v>0</v>
      </c>
      <c r="F1506">
        <v>0</v>
      </c>
      <c r="G1506">
        <v>1</v>
      </c>
      <c r="H1506">
        <v>2</v>
      </c>
      <c r="I1506">
        <v>16</v>
      </c>
      <c r="J1506">
        <v>7</v>
      </c>
      <c r="K1506">
        <f t="shared" si="25"/>
        <v>4</v>
      </c>
    </row>
    <row r="1507" spans="2:11" x14ac:dyDescent="0.35">
      <c r="B1507" t="s">
        <v>1503</v>
      </c>
      <c r="C1507">
        <v>16</v>
      </c>
      <c r="D1507">
        <v>2</v>
      </c>
      <c r="E1507">
        <v>0</v>
      </c>
      <c r="F1507">
        <v>0</v>
      </c>
      <c r="G1507">
        <v>3</v>
      </c>
      <c r="H1507">
        <v>1</v>
      </c>
      <c r="I1507">
        <v>9</v>
      </c>
      <c r="J1507">
        <v>2</v>
      </c>
      <c r="K1507">
        <f t="shared" si="25"/>
        <v>4</v>
      </c>
    </row>
    <row r="1508" spans="2:11" x14ac:dyDescent="0.35">
      <c r="B1508" t="s">
        <v>1504</v>
      </c>
      <c r="C1508">
        <v>12</v>
      </c>
      <c r="D1508">
        <v>0</v>
      </c>
      <c r="E1508">
        <v>0</v>
      </c>
      <c r="F1508">
        <v>0</v>
      </c>
      <c r="G1508">
        <v>0</v>
      </c>
      <c r="H1508">
        <v>6</v>
      </c>
      <c r="I1508">
        <v>3</v>
      </c>
      <c r="J1508">
        <v>4</v>
      </c>
      <c r="K1508">
        <f t="shared" si="25"/>
        <v>2</v>
      </c>
    </row>
    <row r="1509" spans="2:11" x14ac:dyDescent="0.35">
      <c r="B1509" t="s">
        <v>1505</v>
      </c>
      <c r="C1509">
        <v>33</v>
      </c>
      <c r="D1509">
        <v>1</v>
      </c>
      <c r="E1509">
        <v>0</v>
      </c>
      <c r="F1509">
        <v>3</v>
      </c>
      <c r="G1509">
        <v>0</v>
      </c>
      <c r="H1509">
        <v>0</v>
      </c>
      <c r="I1509">
        <v>6</v>
      </c>
      <c r="J1509">
        <v>24</v>
      </c>
      <c r="K1509">
        <f t="shared" si="25"/>
        <v>3</v>
      </c>
    </row>
    <row r="1510" spans="2:11" x14ac:dyDescent="0.35">
      <c r="B1510" t="s">
        <v>1506</v>
      </c>
      <c r="C1510">
        <v>25</v>
      </c>
      <c r="D1510">
        <v>1</v>
      </c>
      <c r="E1510">
        <v>0</v>
      </c>
      <c r="F1510">
        <v>0</v>
      </c>
      <c r="G1510">
        <v>1</v>
      </c>
      <c r="H1510">
        <v>1</v>
      </c>
      <c r="I1510">
        <v>7</v>
      </c>
      <c r="J1510">
        <v>16</v>
      </c>
      <c r="K1510">
        <f t="shared" si="25"/>
        <v>4</v>
      </c>
    </row>
    <row r="1511" spans="2:11" x14ac:dyDescent="0.35">
      <c r="B1511" t="s">
        <v>1507</v>
      </c>
      <c r="C1511">
        <v>8</v>
      </c>
      <c r="D1511">
        <v>0</v>
      </c>
      <c r="E1511">
        <v>0</v>
      </c>
      <c r="F1511">
        <v>0</v>
      </c>
      <c r="G1511">
        <v>0</v>
      </c>
      <c r="H1511">
        <v>3</v>
      </c>
      <c r="I1511">
        <v>1</v>
      </c>
      <c r="J1511">
        <v>5</v>
      </c>
      <c r="K1511">
        <f t="shared" si="25"/>
        <v>2</v>
      </c>
    </row>
    <row r="1512" spans="2:11" x14ac:dyDescent="0.35">
      <c r="B1512" t="s">
        <v>1508</v>
      </c>
      <c r="C1512">
        <v>60</v>
      </c>
      <c r="D1512">
        <v>1</v>
      </c>
      <c r="E1512">
        <v>0</v>
      </c>
      <c r="F1512">
        <v>0</v>
      </c>
      <c r="G1512">
        <v>9</v>
      </c>
      <c r="H1512">
        <v>18</v>
      </c>
      <c r="I1512">
        <v>11</v>
      </c>
      <c r="J1512">
        <v>22</v>
      </c>
      <c r="K1512">
        <f t="shared" si="25"/>
        <v>4</v>
      </c>
    </row>
    <row r="1513" spans="2:11" x14ac:dyDescent="0.35">
      <c r="B1513" t="s">
        <v>1509</v>
      </c>
      <c r="C1513">
        <v>17</v>
      </c>
      <c r="D1513">
        <v>2</v>
      </c>
      <c r="E1513">
        <v>0</v>
      </c>
      <c r="F1513">
        <v>0</v>
      </c>
      <c r="G1513">
        <v>0</v>
      </c>
      <c r="H1513">
        <v>2</v>
      </c>
      <c r="I1513">
        <v>3</v>
      </c>
      <c r="J1513">
        <v>11</v>
      </c>
      <c r="K1513">
        <f t="shared" si="25"/>
        <v>3</v>
      </c>
    </row>
    <row r="1514" spans="2:11" x14ac:dyDescent="0.35">
      <c r="B1514" t="s">
        <v>1510</v>
      </c>
      <c r="C1514">
        <v>45</v>
      </c>
      <c r="D1514">
        <v>2</v>
      </c>
      <c r="E1514">
        <v>0</v>
      </c>
      <c r="F1514">
        <v>0</v>
      </c>
      <c r="G1514">
        <v>12</v>
      </c>
      <c r="H1514">
        <v>9</v>
      </c>
      <c r="I1514">
        <v>6</v>
      </c>
      <c r="J1514">
        <v>17</v>
      </c>
      <c r="K1514">
        <f t="shared" si="25"/>
        <v>4</v>
      </c>
    </row>
    <row r="1515" spans="2:11" x14ac:dyDescent="0.35">
      <c r="B1515" t="s">
        <v>1511</v>
      </c>
      <c r="C1515">
        <v>16</v>
      </c>
      <c r="D1515">
        <v>0</v>
      </c>
      <c r="E1515">
        <v>0</v>
      </c>
      <c r="F1515">
        <v>0</v>
      </c>
      <c r="G1515">
        <v>0</v>
      </c>
      <c r="H1515">
        <v>1</v>
      </c>
      <c r="I1515">
        <v>11</v>
      </c>
      <c r="J1515">
        <v>5</v>
      </c>
      <c r="K1515">
        <f t="shared" si="25"/>
        <v>2</v>
      </c>
    </row>
    <row r="1516" spans="2:11" x14ac:dyDescent="0.35">
      <c r="B1516" t="s">
        <v>1512</v>
      </c>
      <c r="C1516">
        <v>10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5</v>
      </c>
      <c r="J1516">
        <v>6</v>
      </c>
      <c r="K1516">
        <f t="shared" si="25"/>
        <v>1</v>
      </c>
    </row>
    <row r="1517" spans="2:11" x14ac:dyDescent="0.35">
      <c r="B1517" t="s">
        <v>1513</v>
      </c>
      <c r="C1517">
        <v>29</v>
      </c>
      <c r="D1517">
        <v>2</v>
      </c>
      <c r="E1517">
        <v>0</v>
      </c>
      <c r="F1517">
        <v>0</v>
      </c>
      <c r="G1517">
        <v>0</v>
      </c>
      <c r="H1517">
        <v>5</v>
      </c>
      <c r="I1517">
        <v>8</v>
      </c>
      <c r="J1517">
        <v>15</v>
      </c>
      <c r="K1517">
        <f t="shared" si="25"/>
        <v>3</v>
      </c>
    </row>
    <row r="1518" spans="2:11" x14ac:dyDescent="0.35">
      <c r="B1518" t="s">
        <v>1514</v>
      </c>
      <c r="C1518">
        <v>28</v>
      </c>
      <c r="D1518">
        <v>2</v>
      </c>
      <c r="E1518">
        <v>0</v>
      </c>
      <c r="F1518">
        <v>0</v>
      </c>
      <c r="G1518">
        <v>0</v>
      </c>
      <c r="H1518">
        <v>3</v>
      </c>
      <c r="I1518">
        <v>18</v>
      </c>
      <c r="J1518">
        <v>6</v>
      </c>
      <c r="K1518">
        <f t="shared" si="25"/>
        <v>3</v>
      </c>
    </row>
    <row r="1519" spans="2:11" x14ac:dyDescent="0.35">
      <c r="B1519" t="s">
        <v>1515</v>
      </c>
      <c r="C1519">
        <v>7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3</v>
      </c>
      <c r="J1519">
        <v>5</v>
      </c>
      <c r="K1519">
        <f t="shared" si="25"/>
        <v>1</v>
      </c>
    </row>
    <row r="1520" spans="2:11" x14ac:dyDescent="0.35">
      <c r="B1520" t="s">
        <v>1516</v>
      </c>
      <c r="C1520">
        <v>114</v>
      </c>
      <c r="D1520">
        <v>7</v>
      </c>
      <c r="E1520">
        <v>0</v>
      </c>
      <c r="F1520">
        <v>1</v>
      </c>
      <c r="G1520">
        <v>2</v>
      </c>
      <c r="H1520">
        <v>13</v>
      </c>
      <c r="I1520">
        <v>42</v>
      </c>
      <c r="J1520">
        <v>50</v>
      </c>
      <c r="K1520">
        <f t="shared" si="25"/>
        <v>5</v>
      </c>
    </row>
    <row r="1521" spans="2:11" x14ac:dyDescent="0.35">
      <c r="B1521" t="s">
        <v>1517</v>
      </c>
      <c r="C1521">
        <v>34</v>
      </c>
      <c r="D1521">
        <v>3</v>
      </c>
      <c r="E1521">
        <v>0</v>
      </c>
      <c r="F1521">
        <v>0</v>
      </c>
      <c r="G1521">
        <v>6</v>
      </c>
      <c r="H1521">
        <v>3</v>
      </c>
      <c r="I1521">
        <v>14</v>
      </c>
      <c r="J1521">
        <v>9</v>
      </c>
      <c r="K1521">
        <f t="shared" si="25"/>
        <v>4</v>
      </c>
    </row>
    <row r="1522" spans="2:11" x14ac:dyDescent="0.35">
      <c r="B1522" t="s">
        <v>1518</v>
      </c>
      <c r="C1522">
        <v>6</v>
      </c>
      <c r="D1522">
        <v>0</v>
      </c>
      <c r="E1522">
        <v>1</v>
      </c>
      <c r="F1522">
        <v>0</v>
      </c>
      <c r="G1522">
        <v>1</v>
      </c>
      <c r="H1522">
        <v>0</v>
      </c>
      <c r="I1522">
        <v>2</v>
      </c>
      <c r="J1522">
        <v>3</v>
      </c>
      <c r="K1522">
        <f t="shared" si="25"/>
        <v>3</v>
      </c>
    </row>
    <row r="1523" spans="2:11" x14ac:dyDescent="0.35">
      <c r="B1523" t="s">
        <v>1519</v>
      </c>
      <c r="C1523">
        <v>24</v>
      </c>
      <c r="D1523">
        <v>1</v>
      </c>
      <c r="E1523">
        <v>2</v>
      </c>
      <c r="F1523">
        <v>2</v>
      </c>
      <c r="G1523">
        <v>0</v>
      </c>
      <c r="H1523">
        <v>4</v>
      </c>
      <c r="I1523">
        <v>4</v>
      </c>
      <c r="J1523">
        <v>12</v>
      </c>
      <c r="K1523">
        <f t="shared" si="25"/>
        <v>5</v>
      </c>
    </row>
    <row r="1524" spans="2:11" x14ac:dyDescent="0.35">
      <c r="B1524" t="s">
        <v>1520</v>
      </c>
      <c r="C1524">
        <v>19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4</v>
      </c>
      <c r="J1524">
        <v>16</v>
      </c>
      <c r="K1524">
        <f t="shared" si="25"/>
        <v>1</v>
      </c>
    </row>
    <row r="1525" spans="2:11" x14ac:dyDescent="0.35">
      <c r="B1525" t="s">
        <v>1521</v>
      </c>
      <c r="C1525">
        <v>11</v>
      </c>
      <c r="D1525">
        <v>0</v>
      </c>
      <c r="E1525">
        <v>0</v>
      </c>
      <c r="F1525">
        <v>0</v>
      </c>
      <c r="G1525">
        <v>0</v>
      </c>
      <c r="H1525">
        <v>4</v>
      </c>
      <c r="I1525">
        <v>6</v>
      </c>
      <c r="J1525">
        <v>2</v>
      </c>
      <c r="K1525">
        <f t="shared" si="25"/>
        <v>2</v>
      </c>
    </row>
    <row r="1526" spans="2:11" x14ac:dyDescent="0.35">
      <c r="B1526" t="s">
        <v>1522</v>
      </c>
      <c r="C1526">
        <v>13</v>
      </c>
      <c r="D1526">
        <v>0</v>
      </c>
      <c r="E1526">
        <v>0</v>
      </c>
      <c r="F1526">
        <v>0</v>
      </c>
      <c r="G1526">
        <v>0</v>
      </c>
      <c r="H1526">
        <v>5</v>
      </c>
      <c r="I1526">
        <v>7</v>
      </c>
      <c r="J1526">
        <v>2</v>
      </c>
      <c r="K1526">
        <f t="shared" si="25"/>
        <v>2</v>
      </c>
    </row>
    <row r="1527" spans="2:11" x14ac:dyDescent="0.35">
      <c r="B1527" t="s">
        <v>1523</v>
      </c>
      <c r="C1527">
        <v>7</v>
      </c>
      <c r="D1527">
        <v>1</v>
      </c>
      <c r="E1527">
        <v>0</v>
      </c>
      <c r="F1527">
        <v>0</v>
      </c>
      <c r="G1527">
        <v>0</v>
      </c>
      <c r="H1527">
        <v>0</v>
      </c>
      <c r="I1527">
        <v>5</v>
      </c>
      <c r="J1527">
        <v>2</v>
      </c>
      <c r="K1527">
        <f t="shared" si="25"/>
        <v>2</v>
      </c>
    </row>
    <row r="1528" spans="2:11" x14ac:dyDescent="0.35">
      <c r="B1528" t="s">
        <v>1524</v>
      </c>
      <c r="C1528">
        <v>7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1</v>
      </c>
      <c r="J1528">
        <v>7</v>
      </c>
      <c r="K1528">
        <f t="shared" si="25"/>
        <v>1</v>
      </c>
    </row>
    <row r="1529" spans="2:11" x14ac:dyDescent="0.35">
      <c r="B1529" t="s">
        <v>1525</v>
      </c>
      <c r="C1529">
        <v>3</v>
      </c>
      <c r="D1529">
        <v>0</v>
      </c>
      <c r="E1529">
        <v>0</v>
      </c>
      <c r="F1529">
        <v>1</v>
      </c>
      <c r="G1529">
        <v>1</v>
      </c>
      <c r="H1529">
        <v>0</v>
      </c>
      <c r="I1529">
        <v>1</v>
      </c>
      <c r="J1529">
        <v>1</v>
      </c>
      <c r="K1529">
        <f t="shared" si="25"/>
        <v>3</v>
      </c>
    </row>
    <row r="1530" spans="2:11" x14ac:dyDescent="0.35">
      <c r="B1530" t="s">
        <v>1526</v>
      </c>
      <c r="C1530">
        <v>61</v>
      </c>
      <c r="D1530">
        <v>2</v>
      </c>
      <c r="E1530">
        <v>0</v>
      </c>
      <c r="F1530">
        <v>0</v>
      </c>
      <c r="G1530">
        <v>0</v>
      </c>
      <c r="H1530">
        <v>3</v>
      </c>
      <c r="I1530">
        <v>18</v>
      </c>
      <c r="J1530">
        <v>39</v>
      </c>
      <c r="K1530">
        <f t="shared" si="25"/>
        <v>3</v>
      </c>
    </row>
    <row r="1531" spans="2:11" x14ac:dyDescent="0.35">
      <c r="B1531" t="s">
        <v>1527</v>
      </c>
      <c r="C1531">
        <v>37</v>
      </c>
      <c r="D1531">
        <v>3</v>
      </c>
      <c r="E1531">
        <v>0</v>
      </c>
      <c r="F1531">
        <v>0</v>
      </c>
      <c r="G1531">
        <v>1</v>
      </c>
      <c r="H1531">
        <v>1</v>
      </c>
      <c r="I1531">
        <v>5</v>
      </c>
      <c r="J1531">
        <v>28</v>
      </c>
      <c r="K1531">
        <f t="shared" si="25"/>
        <v>4</v>
      </c>
    </row>
    <row r="1532" spans="2:11" x14ac:dyDescent="0.35">
      <c r="B1532" t="s">
        <v>1528</v>
      </c>
      <c r="C1532">
        <v>40</v>
      </c>
      <c r="D1532">
        <v>0</v>
      </c>
      <c r="E1532">
        <v>0</v>
      </c>
      <c r="F1532">
        <v>0</v>
      </c>
      <c r="G1532">
        <v>0</v>
      </c>
      <c r="H1532">
        <v>2</v>
      </c>
      <c r="I1532">
        <v>6</v>
      </c>
      <c r="J1532">
        <v>33</v>
      </c>
      <c r="K1532">
        <f t="shared" si="25"/>
        <v>2</v>
      </c>
    </row>
    <row r="1533" spans="2:11" x14ac:dyDescent="0.35">
      <c r="B1533" t="s">
        <v>1529</v>
      </c>
      <c r="C1533">
        <v>6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6</v>
      </c>
      <c r="J1533">
        <v>1</v>
      </c>
      <c r="K1533">
        <f t="shared" si="25"/>
        <v>1</v>
      </c>
    </row>
    <row r="1534" spans="2:11" x14ac:dyDescent="0.35">
      <c r="B1534" t="s">
        <v>1530</v>
      </c>
      <c r="C1534">
        <v>25</v>
      </c>
      <c r="D1534">
        <v>4</v>
      </c>
      <c r="E1534">
        <v>0</v>
      </c>
      <c r="F1534">
        <v>1</v>
      </c>
      <c r="G1534">
        <v>0</v>
      </c>
      <c r="H1534">
        <v>2</v>
      </c>
      <c r="I1534">
        <v>6</v>
      </c>
      <c r="J1534">
        <v>13</v>
      </c>
      <c r="K1534">
        <f t="shared" si="25"/>
        <v>4</v>
      </c>
    </row>
    <row r="1535" spans="2:11" x14ac:dyDescent="0.35">
      <c r="B1535" t="s">
        <v>1531</v>
      </c>
      <c r="C1535">
        <v>86</v>
      </c>
      <c r="D1535">
        <v>2</v>
      </c>
      <c r="E1535">
        <v>0</v>
      </c>
      <c r="F1535">
        <v>0</v>
      </c>
      <c r="G1535">
        <v>3</v>
      </c>
      <c r="H1535">
        <v>5</v>
      </c>
      <c r="I1535">
        <v>31</v>
      </c>
      <c r="J1535">
        <v>46</v>
      </c>
      <c r="K1535">
        <f t="shared" si="25"/>
        <v>4</v>
      </c>
    </row>
    <row r="1536" spans="2:11" x14ac:dyDescent="0.35">
      <c r="B1536" t="s">
        <v>1532</v>
      </c>
      <c r="C1536">
        <v>7</v>
      </c>
      <c r="D1536">
        <v>0</v>
      </c>
      <c r="E1536">
        <v>0</v>
      </c>
      <c r="F1536">
        <v>0</v>
      </c>
      <c r="G1536">
        <v>3</v>
      </c>
      <c r="H1536">
        <v>1</v>
      </c>
      <c r="I1536">
        <v>1</v>
      </c>
      <c r="J1536">
        <v>3</v>
      </c>
      <c r="K1536">
        <f t="shared" si="25"/>
        <v>3</v>
      </c>
    </row>
    <row r="1537" spans="2:11" x14ac:dyDescent="0.35">
      <c r="B1537" t="s">
        <v>1533</v>
      </c>
      <c r="C1537">
        <v>26</v>
      </c>
      <c r="D1537">
        <v>2</v>
      </c>
      <c r="E1537">
        <v>0</v>
      </c>
      <c r="F1537">
        <v>0</v>
      </c>
      <c r="G1537">
        <v>0</v>
      </c>
      <c r="H1537">
        <v>1</v>
      </c>
      <c r="I1537">
        <v>17</v>
      </c>
      <c r="J1537">
        <v>7</v>
      </c>
      <c r="K1537">
        <f t="shared" si="25"/>
        <v>3</v>
      </c>
    </row>
    <row r="1538" spans="2:11" x14ac:dyDescent="0.35">
      <c r="B1538" t="s">
        <v>1534</v>
      </c>
      <c r="C1538">
        <v>76</v>
      </c>
      <c r="D1538">
        <v>4</v>
      </c>
      <c r="E1538">
        <v>1</v>
      </c>
      <c r="F1538">
        <v>0</v>
      </c>
      <c r="G1538">
        <v>3</v>
      </c>
      <c r="H1538">
        <v>2</v>
      </c>
      <c r="I1538">
        <v>26</v>
      </c>
      <c r="J1538">
        <v>41</v>
      </c>
      <c r="K1538">
        <f t="shared" si="25"/>
        <v>5</v>
      </c>
    </row>
    <row r="1539" spans="2:11" x14ac:dyDescent="0.35">
      <c r="B1539" t="s">
        <v>1535</v>
      </c>
      <c r="C1539">
        <v>14</v>
      </c>
      <c r="D1539">
        <v>5</v>
      </c>
      <c r="E1539">
        <v>0</v>
      </c>
      <c r="F1539">
        <v>0</v>
      </c>
      <c r="G1539">
        <v>0</v>
      </c>
      <c r="H1539">
        <v>0</v>
      </c>
      <c r="I1539">
        <v>2</v>
      </c>
      <c r="J1539">
        <v>8</v>
      </c>
      <c r="K1539">
        <f t="shared" si="25"/>
        <v>2</v>
      </c>
    </row>
    <row r="1540" spans="2:11" x14ac:dyDescent="0.35">
      <c r="B1540" t="s">
        <v>1536</v>
      </c>
      <c r="C1540">
        <v>11</v>
      </c>
      <c r="D1540">
        <v>0</v>
      </c>
      <c r="E1540">
        <v>0</v>
      </c>
      <c r="F1540">
        <v>0</v>
      </c>
      <c r="G1540">
        <v>1</v>
      </c>
      <c r="H1540">
        <v>1</v>
      </c>
      <c r="I1540">
        <v>5</v>
      </c>
      <c r="J1540">
        <v>5</v>
      </c>
      <c r="K1540">
        <f t="shared" si="25"/>
        <v>3</v>
      </c>
    </row>
    <row r="1541" spans="2:11" x14ac:dyDescent="0.35">
      <c r="B1541" t="s">
        <v>1537</v>
      </c>
      <c r="C1541">
        <v>5</v>
      </c>
      <c r="D1541">
        <v>0</v>
      </c>
      <c r="E1541">
        <v>0</v>
      </c>
      <c r="F1541">
        <v>0</v>
      </c>
      <c r="G1541">
        <v>1</v>
      </c>
      <c r="H1541">
        <v>0</v>
      </c>
      <c r="I1541">
        <v>1</v>
      </c>
      <c r="J1541">
        <v>4</v>
      </c>
      <c r="K1541">
        <f t="shared" si="25"/>
        <v>2</v>
      </c>
    </row>
    <row r="1542" spans="2:11" x14ac:dyDescent="0.35">
      <c r="B1542" t="s">
        <v>1538</v>
      </c>
      <c r="C1542">
        <v>5</v>
      </c>
      <c r="D1542">
        <v>0</v>
      </c>
      <c r="E1542">
        <v>0</v>
      </c>
      <c r="F1542">
        <v>0</v>
      </c>
      <c r="G1542">
        <v>1</v>
      </c>
      <c r="H1542">
        <v>0</v>
      </c>
      <c r="I1542">
        <v>1</v>
      </c>
      <c r="J1542">
        <v>4</v>
      </c>
      <c r="K1542">
        <f t="shared" si="25"/>
        <v>2</v>
      </c>
    </row>
    <row r="1543" spans="2:11" x14ac:dyDescent="0.35">
      <c r="B1543" t="s">
        <v>1539</v>
      </c>
      <c r="C1543">
        <v>18</v>
      </c>
      <c r="D1543">
        <v>4</v>
      </c>
      <c r="E1543">
        <v>0</v>
      </c>
      <c r="F1543">
        <v>0</v>
      </c>
      <c r="G1543">
        <v>3</v>
      </c>
      <c r="H1543">
        <v>0</v>
      </c>
      <c r="I1543">
        <v>5</v>
      </c>
      <c r="J1543">
        <v>7</v>
      </c>
      <c r="K1543">
        <f t="shared" si="25"/>
        <v>3</v>
      </c>
    </row>
    <row r="1544" spans="2:11" x14ac:dyDescent="0.35">
      <c r="B1544" t="s">
        <v>1540</v>
      </c>
      <c r="C1544">
        <v>55</v>
      </c>
      <c r="D1544">
        <v>2</v>
      </c>
      <c r="E1544">
        <v>0</v>
      </c>
      <c r="F1544">
        <v>0</v>
      </c>
      <c r="G1544">
        <v>12</v>
      </c>
      <c r="H1544">
        <v>1</v>
      </c>
      <c r="I1544">
        <v>16</v>
      </c>
      <c r="J1544">
        <v>25</v>
      </c>
      <c r="K1544">
        <f t="shared" si="25"/>
        <v>4</v>
      </c>
    </row>
    <row r="1545" spans="2:11" x14ac:dyDescent="0.35">
      <c r="B1545" t="s">
        <v>1541</v>
      </c>
      <c r="C1545">
        <v>14</v>
      </c>
      <c r="D1545">
        <v>1</v>
      </c>
      <c r="E1545">
        <v>0</v>
      </c>
      <c r="F1545">
        <v>0</v>
      </c>
      <c r="G1545">
        <v>0</v>
      </c>
      <c r="H1545">
        <v>0</v>
      </c>
      <c r="I1545">
        <v>3</v>
      </c>
      <c r="J1545">
        <v>11</v>
      </c>
      <c r="K1545">
        <f t="shared" si="25"/>
        <v>2</v>
      </c>
    </row>
    <row r="1546" spans="2:11" x14ac:dyDescent="0.35">
      <c r="B1546" t="s">
        <v>1542</v>
      </c>
      <c r="C1546">
        <v>13</v>
      </c>
      <c r="D1546">
        <v>0</v>
      </c>
      <c r="E1546">
        <v>0</v>
      </c>
      <c r="F1546">
        <v>1</v>
      </c>
      <c r="G1546">
        <v>0</v>
      </c>
      <c r="H1546">
        <v>0</v>
      </c>
      <c r="I1546">
        <v>4</v>
      </c>
      <c r="J1546">
        <v>9</v>
      </c>
      <c r="K1546">
        <f t="shared" si="25"/>
        <v>2</v>
      </c>
    </row>
    <row r="1547" spans="2:11" x14ac:dyDescent="0.35">
      <c r="B1547" t="s">
        <v>1543</v>
      </c>
      <c r="C1547">
        <v>33</v>
      </c>
      <c r="D1547">
        <v>4</v>
      </c>
      <c r="E1547">
        <v>0</v>
      </c>
      <c r="F1547">
        <v>0</v>
      </c>
      <c r="G1547">
        <v>3</v>
      </c>
      <c r="H1547">
        <v>5</v>
      </c>
      <c r="I1547">
        <v>10</v>
      </c>
      <c r="J1547">
        <v>12</v>
      </c>
      <c r="K1547">
        <f t="shared" si="25"/>
        <v>4</v>
      </c>
    </row>
    <row r="1548" spans="2:11" x14ac:dyDescent="0.35">
      <c r="B1548" t="s">
        <v>1544</v>
      </c>
      <c r="C1548">
        <v>15</v>
      </c>
      <c r="D1548">
        <v>3</v>
      </c>
      <c r="E1548">
        <v>0</v>
      </c>
      <c r="F1548">
        <v>0</v>
      </c>
      <c r="G1548">
        <v>4</v>
      </c>
      <c r="H1548">
        <v>1</v>
      </c>
      <c r="I1548">
        <v>6</v>
      </c>
      <c r="J1548">
        <v>2</v>
      </c>
      <c r="K1548">
        <f t="shared" ref="K1548:K1611" si="26">COUNTIF(D1548:I1548, "&gt;0")</f>
        <v>4</v>
      </c>
    </row>
    <row r="1549" spans="2:11" x14ac:dyDescent="0.35">
      <c r="B1549" t="s">
        <v>1545</v>
      </c>
      <c r="C1549">
        <v>6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4</v>
      </c>
      <c r="J1549">
        <v>3</v>
      </c>
      <c r="K1549">
        <f t="shared" si="26"/>
        <v>1</v>
      </c>
    </row>
    <row r="1550" spans="2:11" x14ac:dyDescent="0.35">
      <c r="B1550" t="s">
        <v>1546</v>
      </c>
      <c r="C1550">
        <v>60</v>
      </c>
      <c r="D1550">
        <v>3</v>
      </c>
      <c r="E1550">
        <v>0</v>
      </c>
      <c r="F1550">
        <v>0</v>
      </c>
      <c r="G1550">
        <v>5</v>
      </c>
      <c r="H1550">
        <v>14</v>
      </c>
      <c r="I1550">
        <v>21</v>
      </c>
      <c r="J1550">
        <v>18</v>
      </c>
      <c r="K1550">
        <f t="shared" si="26"/>
        <v>4</v>
      </c>
    </row>
    <row r="1551" spans="2:11" x14ac:dyDescent="0.35">
      <c r="B1551" t="s">
        <v>1547</v>
      </c>
      <c r="C1551">
        <v>103</v>
      </c>
      <c r="D1551">
        <v>2</v>
      </c>
      <c r="E1551">
        <v>0</v>
      </c>
      <c r="F1551">
        <v>0</v>
      </c>
      <c r="G1551">
        <v>16</v>
      </c>
      <c r="H1551">
        <v>17</v>
      </c>
      <c r="I1551">
        <v>32</v>
      </c>
      <c r="J1551">
        <v>37</v>
      </c>
      <c r="K1551">
        <f t="shared" si="26"/>
        <v>4</v>
      </c>
    </row>
    <row r="1552" spans="2:11" x14ac:dyDescent="0.35">
      <c r="B1552" t="s">
        <v>1548</v>
      </c>
      <c r="C1552">
        <v>24</v>
      </c>
      <c r="D1552">
        <v>0</v>
      </c>
      <c r="E1552">
        <v>0</v>
      </c>
      <c r="F1552">
        <v>2</v>
      </c>
      <c r="G1552">
        <v>2</v>
      </c>
      <c r="H1552">
        <v>4</v>
      </c>
      <c r="I1552">
        <v>3</v>
      </c>
      <c r="J1552">
        <v>14</v>
      </c>
      <c r="K1552">
        <f t="shared" si="26"/>
        <v>4</v>
      </c>
    </row>
    <row r="1553" spans="2:11" x14ac:dyDescent="0.35">
      <c r="B1553" t="s">
        <v>1549</v>
      </c>
      <c r="C1553">
        <v>39</v>
      </c>
      <c r="D1553">
        <v>0</v>
      </c>
      <c r="E1553">
        <v>1</v>
      </c>
      <c r="F1553">
        <v>0</v>
      </c>
      <c r="G1553">
        <v>5</v>
      </c>
      <c r="H1553">
        <v>10</v>
      </c>
      <c r="I1553">
        <v>6</v>
      </c>
      <c r="J1553">
        <v>18</v>
      </c>
      <c r="K1553">
        <f t="shared" si="26"/>
        <v>4</v>
      </c>
    </row>
    <row r="1554" spans="2:11" x14ac:dyDescent="0.35">
      <c r="B1554" t="s">
        <v>1550</v>
      </c>
      <c r="C1554">
        <v>75</v>
      </c>
      <c r="D1554">
        <v>11</v>
      </c>
      <c r="E1554">
        <v>0</v>
      </c>
      <c r="F1554">
        <v>1</v>
      </c>
      <c r="G1554">
        <v>8</v>
      </c>
      <c r="H1554">
        <v>5</v>
      </c>
      <c r="I1554">
        <v>32</v>
      </c>
      <c r="J1554">
        <v>19</v>
      </c>
      <c r="K1554">
        <f t="shared" si="26"/>
        <v>5</v>
      </c>
    </row>
    <row r="1555" spans="2:11" x14ac:dyDescent="0.35">
      <c r="B1555" t="s">
        <v>1551</v>
      </c>
      <c r="C1555">
        <v>81</v>
      </c>
      <c r="D1555">
        <v>2</v>
      </c>
      <c r="E1555">
        <v>0</v>
      </c>
      <c r="F1555">
        <v>1</v>
      </c>
      <c r="G1555">
        <v>6</v>
      </c>
      <c r="H1555">
        <v>3</v>
      </c>
      <c r="I1555">
        <v>65</v>
      </c>
      <c r="J1555">
        <v>5</v>
      </c>
      <c r="K1555">
        <f t="shared" si="26"/>
        <v>5</v>
      </c>
    </row>
    <row r="1556" spans="2:11" x14ac:dyDescent="0.35">
      <c r="B1556" t="s">
        <v>1552</v>
      </c>
      <c r="C1556">
        <v>15</v>
      </c>
      <c r="D1556">
        <v>1</v>
      </c>
      <c r="E1556">
        <v>0</v>
      </c>
      <c r="F1556">
        <v>0</v>
      </c>
      <c r="G1556">
        <v>1</v>
      </c>
      <c r="H1556">
        <v>0</v>
      </c>
      <c r="I1556">
        <v>6</v>
      </c>
      <c r="J1556">
        <v>8</v>
      </c>
      <c r="K1556">
        <f t="shared" si="26"/>
        <v>3</v>
      </c>
    </row>
    <row r="1557" spans="2:11" x14ac:dyDescent="0.35">
      <c r="B1557" t="s">
        <v>1553</v>
      </c>
      <c r="C1557">
        <v>21</v>
      </c>
      <c r="D1557">
        <v>2</v>
      </c>
      <c r="E1557">
        <v>0</v>
      </c>
      <c r="F1557">
        <v>1</v>
      </c>
      <c r="G1557">
        <v>0</v>
      </c>
      <c r="H1557">
        <v>0</v>
      </c>
      <c r="I1557">
        <v>9</v>
      </c>
      <c r="J1557">
        <v>10</v>
      </c>
      <c r="K1557">
        <f t="shared" si="26"/>
        <v>3</v>
      </c>
    </row>
    <row r="1558" spans="2:11" x14ac:dyDescent="0.35">
      <c r="B1558" t="s">
        <v>1554</v>
      </c>
      <c r="C1558">
        <v>49</v>
      </c>
      <c r="D1558">
        <v>6</v>
      </c>
      <c r="E1558">
        <v>3</v>
      </c>
      <c r="F1558">
        <v>1</v>
      </c>
      <c r="G1558">
        <v>1</v>
      </c>
      <c r="H1558">
        <v>5</v>
      </c>
      <c r="I1558">
        <v>11</v>
      </c>
      <c r="J1558">
        <v>23</v>
      </c>
      <c r="K1558">
        <f t="shared" si="26"/>
        <v>6</v>
      </c>
    </row>
    <row r="1559" spans="2:11" x14ac:dyDescent="0.35">
      <c r="B1559" t="s">
        <v>1555</v>
      </c>
      <c r="C1559">
        <v>7</v>
      </c>
      <c r="D1559">
        <v>0</v>
      </c>
      <c r="E1559">
        <v>0</v>
      </c>
      <c r="F1559">
        <v>0</v>
      </c>
      <c r="G1559">
        <v>1</v>
      </c>
      <c r="H1559">
        <v>3</v>
      </c>
      <c r="I1559">
        <v>0</v>
      </c>
      <c r="J1559">
        <v>4</v>
      </c>
      <c r="K1559">
        <f t="shared" si="26"/>
        <v>2</v>
      </c>
    </row>
    <row r="1560" spans="2:11" x14ac:dyDescent="0.35">
      <c r="B1560" t="s">
        <v>1556</v>
      </c>
      <c r="C1560">
        <v>14</v>
      </c>
      <c r="D1560">
        <v>1</v>
      </c>
      <c r="E1560">
        <v>0</v>
      </c>
      <c r="F1560">
        <v>0</v>
      </c>
      <c r="G1560">
        <v>2</v>
      </c>
      <c r="H1560">
        <v>5</v>
      </c>
      <c r="I1560">
        <v>2</v>
      </c>
      <c r="J1560">
        <v>5</v>
      </c>
      <c r="K1560">
        <f t="shared" si="26"/>
        <v>4</v>
      </c>
    </row>
    <row r="1561" spans="2:11" x14ac:dyDescent="0.35">
      <c r="B1561" t="s">
        <v>1557</v>
      </c>
      <c r="C1561">
        <v>37</v>
      </c>
      <c r="D1561">
        <v>2</v>
      </c>
      <c r="E1561">
        <v>1</v>
      </c>
      <c r="F1561">
        <v>0</v>
      </c>
      <c r="G1561">
        <v>0</v>
      </c>
      <c r="H1561">
        <v>0</v>
      </c>
      <c r="I1561">
        <v>22</v>
      </c>
      <c r="J1561">
        <v>13</v>
      </c>
      <c r="K1561">
        <f t="shared" si="26"/>
        <v>3</v>
      </c>
    </row>
    <row r="1562" spans="2:11" x14ac:dyDescent="0.35">
      <c r="B1562" t="s">
        <v>1558</v>
      </c>
      <c r="C1562">
        <v>36</v>
      </c>
      <c r="D1562">
        <v>7</v>
      </c>
      <c r="E1562">
        <v>0</v>
      </c>
      <c r="F1562">
        <v>0</v>
      </c>
      <c r="G1562">
        <v>3</v>
      </c>
      <c r="H1562">
        <v>6</v>
      </c>
      <c r="I1562">
        <v>5</v>
      </c>
      <c r="J1562">
        <v>16</v>
      </c>
      <c r="K1562">
        <f t="shared" si="26"/>
        <v>4</v>
      </c>
    </row>
    <row r="1563" spans="2:11" x14ac:dyDescent="0.35">
      <c r="B1563" t="s">
        <v>1559</v>
      </c>
      <c r="C1563">
        <v>28</v>
      </c>
      <c r="D1563">
        <v>1</v>
      </c>
      <c r="E1563">
        <v>0</v>
      </c>
      <c r="F1563">
        <v>1</v>
      </c>
      <c r="G1563">
        <v>0</v>
      </c>
      <c r="H1563">
        <v>5</v>
      </c>
      <c r="I1563">
        <v>3</v>
      </c>
      <c r="J1563">
        <v>19</v>
      </c>
      <c r="K1563">
        <f t="shared" si="26"/>
        <v>4</v>
      </c>
    </row>
    <row r="1564" spans="2:11" x14ac:dyDescent="0.35">
      <c r="B1564" t="s">
        <v>1560</v>
      </c>
      <c r="C1564">
        <v>20</v>
      </c>
      <c r="D1564">
        <v>0</v>
      </c>
      <c r="E1564">
        <v>0</v>
      </c>
      <c r="F1564">
        <v>0</v>
      </c>
      <c r="G1564">
        <v>0</v>
      </c>
      <c r="H1564">
        <v>6</v>
      </c>
      <c r="I1564">
        <v>4</v>
      </c>
      <c r="J1564">
        <v>11</v>
      </c>
      <c r="K1564">
        <f t="shared" si="26"/>
        <v>2</v>
      </c>
    </row>
    <row r="1565" spans="2:11" x14ac:dyDescent="0.35">
      <c r="B1565" t="s">
        <v>1561</v>
      </c>
      <c r="C1565">
        <v>33</v>
      </c>
      <c r="D1565">
        <v>0</v>
      </c>
      <c r="E1565">
        <v>0</v>
      </c>
      <c r="F1565">
        <v>0</v>
      </c>
      <c r="G1565">
        <v>0</v>
      </c>
      <c r="H1565">
        <v>12</v>
      </c>
      <c r="I1565">
        <v>1</v>
      </c>
      <c r="J1565">
        <v>21</v>
      </c>
      <c r="K1565">
        <f t="shared" si="26"/>
        <v>2</v>
      </c>
    </row>
    <row r="1566" spans="2:11" x14ac:dyDescent="0.35">
      <c r="B1566" t="s">
        <v>1562</v>
      </c>
      <c r="C1566">
        <v>3</v>
      </c>
      <c r="D1566">
        <v>2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2</v>
      </c>
      <c r="K1566">
        <f t="shared" si="26"/>
        <v>1</v>
      </c>
    </row>
    <row r="1567" spans="2:11" x14ac:dyDescent="0.35">
      <c r="B1567" t="s">
        <v>1563</v>
      </c>
      <c r="C1567">
        <v>21</v>
      </c>
      <c r="D1567">
        <v>0</v>
      </c>
      <c r="E1567">
        <v>0</v>
      </c>
      <c r="F1567">
        <v>0</v>
      </c>
      <c r="G1567">
        <v>0</v>
      </c>
      <c r="H1567">
        <v>1</v>
      </c>
      <c r="I1567">
        <v>5</v>
      </c>
      <c r="J1567">
        <v>16</v>
      </c>
      <c r="K1567">
        <f t="shared" si="26"/>
        <v>2</v>
      </c>
    </row>
    <row r="1568" spans="2:11" x14ac:dyDescent="0.35">
      <c r="B1568" t="s">
        <v>1564</v>
      </c>
      <c r="C1568">
        <v>80</v>
      </c>
      <c r="D1568">
        <v>4</v>
      </c>
      <c r="E1568">
        <v>1</v>
      </c>
      <c r="F1568">
        <v>2</v>
      </c>
      <c r="G1568">
        <v>16</v>
      </c>
      <c r="H1568">
        <v>2</v>
      </c>
      <c r="I1568">
        <v>26</v>
      </c>
      <c r="J1568">
        <v>30</v>
      </c>
      <c r="K1568">
        <f t="shared" si="26"/>
        <v>6</v>
      </c>
    </row>
    <row r="1569" spans="2:11" x14ac:dyDescent="0.35">
      <c r="B1569" t="s">
        <v>1565</v>
      </c>
      <c r="C1569">
        <v>72</v>
      </c>
      <c r="D1569">
        <v>5</v>
      </c>
      <c r="E1569">
        <v>0</v>
      </c>
      <c r="F1569">
        <v>2</v>
      </c>
      <c r="G1569">
        <v>2</v>
      </c>
      <c r="H1569">
        <v>9</v>
      </c>
      <c r="I1569">
        <v>26</v>
      </c>
      <c r="J1569">
        <v>29</v>
      </c>
      <c r="K1569">
        <f t="shared" si="26"/>
        <v>5</v>
      </c>
    </row>
    <row r="1570" spans="2:11" x14ac:dyDescent="0.35">
      <c r="B1570" t="s">
        <v>1566</v>
      </c>
      <c r="C1570">
        <v>29</v>
      </c>
      <c r="D1570">
        <v>2</v>
      </c>
      <c r="E1570">
        <v>0</v>
      </c>
      <c r="F1570">
        <v>1</v>
      </c>
      <c r="G1570">
        <v>0</v>
      </c>
      <c r="H1570">
        <v>3</v>
      </c>
      <c r="I1570">
        <v>3</v>
      </c>
      <c r="J1570">
        <v>21</v>
      </c>
      <c r="K1570">
        <f t="shared" si="26"/>
        <v>4</v>
      </c>
    </row>
    <row r="1571" spans="2:11" x14ac:dyDescent="0.35">
      <c r="B1571" t="s">
        <v>1567</v>
      </c>
      <c r="C1571">
        <v>3</v>
      </c>
      <c r="D1571">
        <v>2</v>
      </c>
      <c r="E1571">
        <v>0</v>
      </c>
      <c r="F1571">
        <v>1</v>
      </c>
      <c r="G1571">
        <v>0</v>
      </c>
      <c r="H1571">
        <v>0</v>
      </c>
      <c r="I1571">
        <v>0</v>
      </c>
      <c r="J1571">
        <v>1</v>
      </c>
      <c r="K1571">
        <f t="shared" si="26"/>
        <v>2</v>
      </c>
    </row>
    <row r="1572" spans="2:11" x14ac:dyDescent="0.35">
      <c r="B1572" t="s">
        <v>1568</v>
      </c>
      <c r="C1572">
        <v>67</v>
      </c>
      <c r="D1572">
        <v>1</v>
      </c>
      <c r="E1572">
        <v>0</v>
      </c>
      <c r="F1572">
        <v>0</v>
      </c>
      <c r="G1572">
        <v>7</v>
      </c>
      <c r="H1572">
        <v>8</v>
      </c>
      <c r="I1572">
        <v>17</v>
      </c>
      <c r="J1572">
        <v>35</v>
      </c>
      <c r="K1572">
        <f t="shared" si="26"/>
        <v>4</v>
      </c>
    </row>
    <row r="1573" spans="2:11" x14ac:dyDescent="0.35">
      <c r="B1573" t="s">
        <v>1569</v>
      </c>
      <c r="C1573">
        <v>110</v>
      </c>
      <c r="D1573">
        <v>5</v>
      </c>
      <c r="E1573">
        <v>0</v>
      </c>
      <c r="F1573">
        <v>2</v>
      </c>
      <c r="G1573">
        <v>5</v>
      </c>
      <c r="H1573">
        <v>24</v>
      </c>
      <c r="I1573">
        <v>35</v>
      </c>
      <c r="J1573">
        <v>40</v>
      </c>
      <c r="K1573">
        <f t="shared" si="26"/>
        <v>5</v>
      </c>
    </row>
    <row r="1574" spans="2:11" x14ac:dyDescent="0.35">
      <c r="B1574" t="s">
        <v>1570</v>
      </c>
      <c r="C1574">
        <v>30</v>
      </c>
      <c r="D1574">
        <v>4</v>
      </c>
      <c r="E1574">
        <v>0</v>
      </c>
      <c r="F1574">
        <v>0</v>
      </c>
      <c r="G1574">
        <v>0</v>
      </c>
      <c r="H1574">
        <v>5</v>
      </c>
      <c r="I1574">
        <v>6</v>
      </c>
      <c r="J1574">
        <v>16</v>
      </c>
      <c r="K1574">
        <f t="shared" si="26"/>
        <v>3</v>
      </c>
    </row>
    <row r="1575" spans="2:11" x14ac:dyDescent="0.35">
      <c r="B1575" t="s">
        <v>1571</v>
      </c>
      <c r="C1575">
        <v>42</v>
      </c>
      <c r="D1575">
        <v>2</v>
      </c>
      <c r="E1575">
        <v>0</v>
      </c>
      <c r="F1575">
        <v>0</v>
      </c>
      <c r="G1575">
        <v>1</v>
      </c>
      <c r="H1575">
        <v>8</v>
      </c>
      <c r="I1575">
        <v>24</v>
      </c>
      <c r="J1575">
        <v>8</v>
      </c>
      <c r="K1575">
        <f t="shared" si="26"/>
        <v>4</v>
      </c>
    </row>
    <row r="1576" spans="2:11" x14ac:dyDescent="0.35">
      <c r="B1576" t="s">
        <v>1572</v>
      </c>
      <c r="C1576">
        <v>18</v>
      </c>
      <c r="D1576">
        <v>1</v>
      </c>
      <c r="E1576">
        <v>0</v>
      </c>
      <c r="F1576">
        <v>0</v>
      </c>
      <c r="G1576">
        <v>0</v>
      </c>
      <c r="H1576">
        <v>6</v>
      </c>
      <c r="I1576">
        <v>7</v>
      </c>
      <c r="J1576">
        <v>5</v>
      </c>
      <c r="K1576">
        <f t="shared" si="26"/>
        <v>3</v>
      </c>
    </row>
    <row r="1577" spans="2:11" x14ac:dyDescent="0.35">
      <c r="B1577" t="s">
        <v>1573</v>
      </c>
      <c r="C1577">
        <v>30</v>
      </c>
      <c r="D1577">
        <v>1</v>
      </c>
      <c r="E1577">
        <v>0</v>
      </c>
      <c r="F1577">
        <v>0</v>
      </c>
      <c r="G1577">
        <v>7</v>
      </c>
      <c r="H1577">
        <v>11</v>
      </c>
      <c r="I1577">
        <v>7</v>
      </c>
      <c r="J1577">
        <v>5</v>
      </c>
      <c r="K1577">
        <f t="shared" si="26"/>
        <v>4</v>
      </c>
    </row>
    <row r="1578" spans="2:11" x14ac:dyDescent="0.35">
      <c r="B1578" t="s">
        <v>1574</v>
      </c>
      <c r="C1578">
        <v>11</v>
      </c>
      <c r="D1578">
        <v>3</v>
      </c>
      <c r="E1578">
        <v>0</v>
      </c>
      <c r="F1578">
        <v>0</v>
      </c>
      <c r="G1578">
        <v>1</v>
      </c>
      <c r="H1578">
        <v>0</v>
      </c>
      <c r="I1578">
        <v>5</v>
      </c>
      <c r="J1578">
        <v>3</v>
      </c>
      <c r="K1578">
        <f t="shared" si="26"/>
        <v>3</v>
      </c>
    </row>
    <row r="1579" spans="2:11" x14ac:dyDescent="0.35">
      <c r="B1579" t="s">
        <v>1575</v>
      </c>
      <c r="C1579">
        <v>18</v>
      </c>
      <c r="D1579">
        <v>1</v>
      </c>
      <c r="E1579">
        <v>0</v>
      </c>
      <c r="F1579">
        <v>0</v>
      </c>
      <c r="G1579">
        <v>6</v>
      </c>
      <c r="H1579">
        <v>1</v>
      </c>
      <c r="I1579">
        <v>5</v>
      </c>
      <c r="J1579">
        <v>6</v>
      </c>
      <c r="K1579">
        <f t="shared" si="26"/>
        <v>4</v>
      </c>
    </row>
    <row r="1580" spans="2:11" x14ac:dyDescent="0.35">
      <c r="B1580" t="s">
        <v>1576</v>
      </c>
      <c r="C1580">
        <v>10</v>
      </c>
      <c r="D1580">
        <v>2</v>
      </c>
      <c r="E1580">
        <v>0</v>
      </c>
      <c r="F1580">
        <v>0</v>
      </c>
      <c r="G1580">
        <v>0</v>
      </c>
      <c r="H1580">
        <v>0</v>
      </c>
      <c r="I1580">
        <v>6</v>
      </c>
      <c r="J1580">
        <v>3</v>
      </c>
      <c r="K1580">
        <f t="shared" si="26"/>
        <v>2</v>
      </c>
    </row>
    <row r="1581" spans="2:11" x14ac:dyDescent="0.35">
      <c r="B1581" t="s">
        <v>1577</v>
      </c>
      <c r="C1581">
        <v>22</v>
      </c>
      <c r="D1581">
        <v>6</v>
      </c>
      <c r="E1581">
        <v>0</v>
      </c>
      <c r="F1581">
        <v>0</v>
      </c>
      <c r="G1581">
        <v>1</v>
      </c>
      <c r="H1581">
        <v>0</v>
      </c>
      <c r="I1581">
        <v>11</v>
      </c>
      <c r="J1581">
        <v>5</v>
      </c>
      <c r="K1581">
        <f t="shared" si="26"/>
        <v>3</v>
      </c>
    </row>
    <row r="1582" spans="2:11" x14ac:dyDescent="0.35">
      <c r="B1582" t="s">
        <v>1578</v>
      </c>
      <c r="C1582">
        <v>22</v>
      </c>
      <c r="D1582">
        <v>6</v>
      </c>
      <c r="E1582">
        <v>0</v>
      </c>
      <c r="F1582">
        <v>0</v>
      </c>
      <c r="G1582">
        <v>1</v>
      </c>
      <c r="H1582">
        <v>0</v>
      </c>
      <c r="I1582">
        <v>11</v>
      </c>
      <c r="J1582">
        <v>5</v>
      </c>
      <c r="K1582">
        <f t="shared" si="26"/>
        <v>3</v>
      </c>
    </row>
    <row r="1583" spans="2:11" x14ac:dyDescent="0.35">
      <c r="B1583" t="s">
        <v>1579</v>
      </c>
      <c r="C1583">
        <v>34</v>
      </c>
      <c r="D1583">
        <v>3</v>
      </c>
      <c r="E1583">
        <v>1</v>
      </c>
      <c r="F1583">
        <v>0</v>
      </c>
      <c r="G1583">
        <v>3</v>
      </c>
      <c r="H1583">
        <v>3</v>
      </c>
      <c r="I1583">
        <v>3</v>
      </c>
      <c r="J1583">
        <v>22</v>
      </c>
      <c r="K1583">
        <f t="shared" si="26"/>
        <v>5</v>
      </c>
    </row>
    <row r="1584" spans="2:11" x14ac:dyDescent="0.35">
      <c r="B1584" t="s">
        <v>1580</v>
      </c>
      <c r="C1584">
        <v>57</v>
      </c>
      <c r="D1584">
        <v>2</v>
      </c>
      <c r="E1584">
        <v>0</v>
      </c>
      <c r="F1584">
        <v>0</v>
      </c>
      <c r="G1584">
        <v>5</v>
      </c>
      <c r="H1584">
        <v>6</v>
      </c>
      <c r="I1584">
        <v>19</v>
      </c>
      <c r="J1584">
        <v>26</v>
      </c>
      <c r="K1584">
        <f t="shared" si="26"/>
        <v>4</v>
      </c>
    </row>
    <row r="1585" spans="2:11" x14ac:dyDescent="0.35">
      <c r="B1585" t="s">
        <v>1581</v>
      </c>
      <c r="C1585">
        <v>38</v>
      </c>
      <c r="D1585">
        <v>6</v>
      </c>
      <c r="E1585">
        <v>0</v>
      </c>
      <c r="F1585">
        <v>0</v>
      </c>
      <c r="G1585">
        <v>2</v>
      </c>
      <c r="H1585">
        <v>1</v>
      </c>
      <c r="I1585">
        <v>20</v>
      </c>
      <c r="J1585">
        <v>10</v>
      </c>
      <c r="K1585">
        <f t="shared" si="26"/>
        <v>4</v>
      </c>
    </row>
    <row r="1586" spans="2:11" x14ac:dyDescent="0.35">
      <c r="B1586" t="s">
        <v>1582</v>
      </c>
      <c r="C1586">
        <v>4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2</v>
      </c>
      <c r="J1586">
        <v>3</v>
      </c>
      <c r="K1586">
        <f t="shared" si="26"/>
        <v>1</v>
      </c>
    </row>
    <row r="1587" spans="2:11" x14ac:dyDescent="0.35">
      <c r="B1587" t="s">
        <v>1583</v>
      </c>
      <c r="C1587">
        <v>12</v>
      </c>
      <c r="D1587">
        <v>0</v>
      </c>
      <c r="E1587">
        <v>1</v>
      </c>
      <c r="F1587">
        <v>0</v>
      </c>
      <c r="G1587">
        <v>0</v>
      </c>
      <c r="H1587">
        <v>1</v>
      </c>
      <c r="I1587">
        <v>0</v>
      </c>
      <c r="J1587">
        <v>11</v>
      </c>
      <c r="K1587">
        <f t="shared" si="26"/>
        <v>2</v>
      </c>
    </row>
    <row r="1588" spans="2:11" x14ac:dyDescent="0.35">
      <c r="B1588" t="s">
        <v>1584</v>
      </c>
      <c r="C1588">
        <v>27</v>
      </c>
      <c r="D1588">
        <v>6</v>
      </c>
      <c r="E1588">
        <v>1</v>
      </c>
      <c r="F1588">
        <v>0</v>
      </c>
      <c r="G1588">
        <v>0</v>
      </c>
      <c r="H1588">
        <v>2</v>
      </c>
      <c r="I1588">
        <v>13</v>
      </c>
      <c r="J1588">
        <v>6</v>
      </c>
      <c r="K1588">
        <f t="shared" si="26"/>
        <v>4</v>
      </c>
    </row>
    <row r="1589" spans="2:11" x14ac:dyDescent="0.35">
      <c r="B1589" t="s">
        <v>1585</v>
      </c>
      <c r="C1589">
        <v>8</v>
      </c>
      <c r="D1589">
        <v>1</v>
      </c>
      <c r="E1589">
        <v>0</v>
      </c>
      <c r="F1589">
        <v>0</v>
      </c>
      <c r="G1589">
        <v>0</v>
      </c>
      <c r="H1589">
        <v>0</v>
      </c>
      <c r="I1589">
        <v>6</v>
      </c>
      <c r="J1589">
        <v>2</v>
      </c>
      <c r="K1589">
        <f t="shared" si="26"/>
        <v>2</v>
      </c>
    </row>
    <row r="1590" spans="2:11" x14ac:dyDescent="0.35">
      <c r="B1590" t="s">
        <v>1586</v>
      </c>
      <c r="C1590">
        <v>28</v>
      </c>
      <c r="D1590">
        <v>1</v>
      </c>
      <c r="E1590">
        <v>0</v>
      </c>
      <c r="F1590">
        <v>0</v>
      </c>
      <c r="G1590">
        <v>0</v>
      </c>
      <c r="H1590">
        <v>1</v>
      </c>
      <c r="I1590">
        <v>20</v>
      </c>
      <c r="J1590">
        <v>7</v>
      </c>
      <c r="K1590">
        <f t="shared" si="26"/>
        <v>3</v>
      </c>
    </row>
    <row r="1591" spans="2:11" x14ac:dyDescent="0.35">
      <c r="B1591" t="s">
        <v>1587</v>
      </c>
      <c r="C1591">
        <v>15</v>
      </c>
      <c r="D1591">
        <v>0</v>
      </c>
      <c r="E1591">
        <v>0</v>
      </c>
      <c r="F1591">
        <v>0</v>
      </c>
      <c r="G1591">
        <v>0</v>
      </c>
      <c r="H1591">
        <v>3</v>
      </c>
      <c r="I1591">
        <v>1</v>
      </c>
      <c r="J1591">
        <v>12</v>
      </c>
      <c r="K1591">
        <f t="shared" si="26"/>
        <v>2</v>
      </c>
    </row>
    <row r="1592" spans="2:11" x14ac:dyDescent="0.35">
      <c r="B1592" t="s">
        <v>1588</v>
      </c>
      <c r="C1592">
        <v>16</v>
      </c>
      <c r="D1592">
        <v>0</v>
      </c>
      <c r="E1592">
        <v>0</v>
      </c>
      <c r="F1592">
        <v>1</v>
      </c>
      <c r="G1592">
        <v>0</v>
      </c>
      <c r="H1592">
        <v>1</v>
      </c>
      <c r="I1592">
        <v>0</v>
      </c>
      <c r="J1592">
        <v>15</v>
      </c>
      <c r="K1592">
        <f t="shared" si="26"/>
        <v>2</v>
      </c>
    </row>
    <row r="1593" spans="2:11" x14ac:dyDescent="0.35">
      <c r="B1593" t="s">
        <v>1589</v>
      </c>
      <c r="C1593">
        <v>20</v>
      </c>
      <c r="D1593">
        <v>0</v>
      </c>
      <c r="E1593">
        <v>0</v>
      </c>
      <c r="F1593">
        <v>1</v>
      </c>
      <c r="G1593">
        <v>0</v>
      </c>
      <c r="H1593">
        <v>4</v>
      </c>
      <c r="I1593">
        <v>8</v>
      </c>
      <c r="J1593">
        <v>8</v>
      </c>
      <c r="K1593">
        <f t="shared" si="26"/>
        <v>3</v>
      </c>
    </row>
    <row r="1594" spans="2:11" x14ac:dyDescent="0.35">
      <c r="B1594" t="s">
        <v>1590</v>
      </c>
      <c r="C1594">
        <v>124</v>
      </c>
      <c r="D1594">
        <v>9</v>
      </c>
      <c r="E1594">
        <v>2</v>
      </c>
      <c r="F1594">
        <v>2</v>
      </c>
      <c r="G1594">
        <v>1</v>
      </c>
      <c r="H1594">
        <v>26</v>
      </c>
      <c r="I1594">
        <v>34</v>
      </c>
      <c r="J1594">
        <v>51</v>
      </c>
      <c r="K1594">
        <f t="shared" si="26"/>
        <v>6</v>
      </c>
    </row>
    <row r="1595" spans="2:11" x14ac:dyDescent="0.35">
      <c r="B1595" t="s">
        <v>1591</v>
      </c>
      <c r="C1595">
        <v>33</v>
      </c>
      <c r="D1595">
        <v>2</v>
      </c>
      <c r="E1595">
        <v>0</v>
      </c>
      <c r="F1595">
        <v>0</v>
      </c>
      <c r="G1595">
        <v>2</v>
      </c>
      <c r="H1595">
        <v>4</v>
      </c>
      <c r="I1595">
        <v>9</v>
      </c>
      <c r="J1595">
        <v>17</v>
      </c>
      <c r="K1595">
        <f t="shared" si="26"/>
        <v>4</v>
      </c>
    </row>
    <row r="1596" spans="2:11" x14ac:dyDescent="0.35">
      <c r="B1596" t="s">
        <v>1592</v>
      </c>
      <c r="C1596">
        <v>19</v>
      </c>
      <c r="D1596">
        <v>3</v>
      </c>
      <c r="E1596">
        <v>0</v>
      </c>
      <c r="F1596">
        <v>0</v>
      </c>
      <c r="G1596">
        <v>0</v>
      </c>
      <c r="H1596">
        <v>0</v>
      </c>
      <c r="I1596">
        <v>6</v>
      </c>
      <c r="J1596">
        <v>11</v>
      </c>
      <c r="K1596">
        <f t="shared" si="26"/>
        <v>2</v>
      </c>
    </row>
    <row r="1597" spans="2:11" x14ac:dyDescent="0.35">
      <c r="B1597" t="s">
        <v>1593</v>
      </c>
      <c r="C1597">
        <v>56</v>
      </c>
      <c r="D1597">
        <v>2</v>
      </c>
      <c r="E1597">
        <v>1</v>
      </c>
      <c r="F1597">
        <v>1</v>
      </c>
      <c r="G1597">
        <v>9</v>
      </c>
      <c r="H1597">
        <v>1</v>
      </c>
      <c r="I1597">
        <v>24</v>
      </c>
      <c r="J1597">
        <v>19</v>
      </c>
      <c r="K1597">
        <f t="shared" si="26"/>
        <v>6</v>
      </c>
    </row>
    <row r="1598" spans="2:11" x14ac:dyDescent="0.35">
      <c r="B1598" t="s">
        <v>1594</v>
      </c>
      <c r="C1598">
        <v>1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1</v>
      </c>
      <c r="J1598">
        <v>1</v>
      </c>
      <c r="K1598">
        <f t="shared" si="26"/>
        <v>1</v>
      </c>
    </row>
    <row r="1599" spans="2:11" x14ac:dyDescent="0.35">
      <c r="B1599" t="s">
        <v>1595</v>
      </c>
      <c r="C1599">
        <v>47</v>
      </c>
      <c r="D1599">
        <v>2</v>
      </c>
      <c r="E1599">
        <v>0</v>
      </c>
      <c r="F1599">
        <v>0</v>
      </c>
      <c r="G1599">
        <v>6</v>
      </c>
      <c r="H1599">
        <v>3</v>
      </c>
      <c r="I1599">
        <v>10</v>
      </c>
      <c r="J1599">
        <v>27</v>
      </c>
      <c r="K1599">
        <f t="shared" si="26"/>
        <v>4</v>
      </c>
    </row>
    <row r="1600" spans="2:11" x14ac:dyDescent="0.35">
      <c r="B1600" t="s">
        <v>1596</v>
      </c>
      <c r="C1600">
        <v>161</v>
      </c>
      <c r="D1600">
        <v>3</v>
      </c>
      <c r="E1600">
        <v>0</v>
      </c>
      <c r="F1600">
        <v>0</v>
      </c>
      <c r="G1600">
        <v>8</v>
      </c>
      <c r="H1600">
        <v>27</v>
      </c>
      <c r="I1600">
        <v>69</v>
      </c>
      <c r="J1600">
        <v>55</v>
      </c>
      <c r="K1600">
        <f t="shared" si="26"/>
        <v>4</v>
      </c>
    </row>
    <row r="1601" spans="2:11" x14ac:dyDescent="0.35">
      <c r="B1601" t="s">
        <v>1597</v>
      </c>
      <c r="C1601">
        <v>61</v>
      </c>
      <c r="D1601">
        <v>7</v>
      </c>
      <c r="E1601">
        <v>0</v>
      </c>
      <c r="F1601">
        <v>1</v>
      </c>
      <c r="G1601">
        <v>0</v>
      </c>
      <c r="H1601">
        <v>3</v>
      </c>
      <c r="I1601">
        <v>31</v>
      </c>
      <c r="J1601">
        <v>20</v>
      </c>
      <c r="K1601">
        <f t="shared" si="26"/>
        <v>4</v>
      </c>
    </row>
    <row r="1602" spans="2:11" x14ac:dyDescent="0.35">
      <c r="B1602" t="s">
        <v>1598</v>
      </c>
      <c r="C1602">
        <v>30</v>
      </c>
      <c r="D1602">
        <v>0</v>
      </c>
      <c r="E1602">
        <v>0</v>
      </c>
      <c r="F1602">
        <v>0</v>
      </c>
      <c r="G1602">
        <v>4</v>
      </c>
      <c r="H1602">
        <v>2</v>
      </c>
      <c r="I1602">
        <v>16</v>
      </c>
      <c r="J1602">
        <v>9</v>
      </c>
      <c r="K1602">
        <f t="shared" si="26"/>
        <v>3</v>
      </c>
    </row>
    <row r="1603" spans="2:11" x14ac:dyDescent="0.35">
      <c r="B1603" t="s">
        <v>1599</v>
      </c>
      <c r="C1603">
        <v>6</v>
      </c>
      <c r="D1603">
        <v>0</v>
      </c>
      <c r="E1603">
        <v>0</v>
      </c>
      <c r="F1603">
        <v>0</v>
      </c>
      <c r="G1603">
        <v>1</v>
      </c>
      <c r="H1603">
        <v>0</v>
      </c>
      <c r="I1603">
        <v>2</v>
      </c>
      <c r="J1603">
        <v>4</v>
      </c>
      <c r="K1603">
        <f t="shared" si="26"/>
        <v>2</v>
      </c>
    </row>
    <row r="1604" spans="2:11" x14ac:dyDescent="0.35">
      <c r="B1604" t="s">
        <v>1600</v>
      </c>
      <c r="C1604">
        <v>12</v>
      </c>
      <c r="D1604">
        <v>1</v>
      </c>
      <c r="E1604">
        <v>0</v>
      </c>
      <c r="F1604">
        <v>1</v>
      </c>
      <c r="G1604">
        <v>0</v>
      </c>
      <c r="H1604">
        <v>1</v>
      </c>
      <c r="I1604">
        <v>4</v>
      </c>
      <c r="J1604">
        <v>6</v>
      </c>
      <c r="K1604">
        <f t="shared" si="26"/>
        <v>4</v>
      </c>
    </row>
    <row r="1605" spans="2:11" x14ac:dyDescent="0.35">
      <c r="B1605" t="s">
        <v>1601</v>
      </c>
      <c r="C1605">
        <v>20</v>
      </c>
      <c r="D1605">
        <v>3</v>
      </c>
      <c r="E1605">
        <v>0</v>
      </c>
      <c r="F1605">
        <v>2</v>
      </c>
      <c r="G1605">
        <v>0</v>
      </c>
      <c r="H1605">
        <v>0</v>
      </c>
      <c r="I1605">
        <v>4</v>
      </c>
      <c r="J1605">
        <v>12</v>
      </c>
      <c r="K1605">
        <f t="shared" si="26"/>
        <v>3</v>
      </c>
    </row>
    <row r="1606" spans="2:11" x14ac:dyDescent="0.35">
      <c r="B1606" t="s">
        <v>1602</v>
      </c>
      <c r="C1606">
        <v>13</v>
      </c>
      <c r="D1606">
        <v>0</v>
      </c>
      <c r="E1606">
        <v>0</v>
      </c>
      <c r="F1606">
        <v>0</v>
      </c>
      <c r="G1606">
        <v>0</v>
      </c>
      <c r="H1606">
        <v>1</v>
      </c>
      <c r="I1606">
        <v>10</v>
      </c>
      <c r="J1606">
        <v>3</v>
      </c>
      <c r="K1606">
        <f t="shared" si="26"/>
        <v>2</v>
      </c>
    </row>
    <row r="1607" spans="2:11" x14ac:dyDescent="0.35">
      <c r="B1607" t="s">
        <v>1603</v>
      </c>
      <c r="C1607">
        <v>60</v>
      </c>
      <c r="D1607">
        <v>5</v>
      </c>
      <c r="E1607">
        <v>0</v>
      </c>
      <c r="F1607">
        <v>0</v>
      </c>
      <c r="G1607">
        <v>8</v>
      </c>
      <c r="H1607">
        <v>5</v>
      </c>
      <c r="I1607">
        <v>18</v>
      </c>
      <c r="J1607">
        <v>25</v>
      </c>
      <c r="K1607">
        <f t="shared" si="26"/>
        <v>4</v>
      </c>
    </row>
    <row r="1608" spans="2:11" x14ac:dyDescent="0.35">
      <c r="B1608" t="s">
        <v>1604</v>
      </c>
      <c r="C1608">
        <v>69</v>
      </c>
      <c r="D1608">
        <v>4</v>
      </c>
      <c r="E1608">
        <v>0</v>
      </c>
      <c r="F1608">
        <v>2</v>
      </c>
      <c r="G1608">
        <v>4</v>
      </c>
      <c r="H1608">
        <v>4</v>
      </c>
      <c r="I1608">
        <v>20</v>
      </c>
      <c r="J1608">
        <v>36</v>
      </c>
      <c r="K1608">
        <f t="shared" si="26"/>
        <v>5</v>
      </c>
    </row>
    <row r="1609" spans="2:11" x14ac:dyDescent="0.35">
      <c r="B1609" t="s">
        <v>1605</v>
      </c>
      <c r="C1609">
        <v>3</v>
      </c>
      <c r="D1609">
        <v>1</v>
      </c>
      <c r="E1609">
        <v>0</v>
      </c>
      <c r="F1609">
        <v>0</v>
      </c>
      <c r="G1609">
        <v>1</v>
      </c>
      <c r="H1609">
        <v>0</v>
      </c>
      <c r="I1609">
        <v>0</v>
      </c>
      <c r="J1609">
        <v>2</v>
      </c>
      <c r="K1609">
        <f t="shared" si="26"/>
        <v>2</v>
      </c>
    </row>
    <row r="1610" spans="2:11" x14ac:dyDescent="0.35">
      <c r="B1610" t="s">
        <v>1606</v>
      </c>
      <c r="C1610">
        <v>43</v>
      </c>
      <c r="D1610">
        <v>1</v>
      </c>
      <c r="E1610">
        <v>0</v>
      </c>
      <c r="F1610">
        <v>0</v>
      </c>
      <c r="G1610">
        <v>5</v>
      </c>
      <c r="H1610">
        <v>6</v>
      </c>
      <c r="I1610">
        <v>21</v>
      </c>
      <c r="J1610">
        <v>11</v>
      </c>
      <c r="K1610">
        <f t="shared" si="26"/>
        <v>4</v>
      </c>
    </row>
    <row r="1611" spans="2:11" x14ac:dyDescent="0.35">
      <c r="B1611" t="s">
        <v>1607</v>
      </c>
      <c r="C1611">
        <v>17</v>
      </c>
      <c r="D1611">
        <v>1</v>
      </c>
      <c r="E1611">
        <v>0</v>
      </c>
      <c r="F1611">
        <v>0</v>
      </c>
      <c r="G1611">
        <v>0</v>
      </c>
      <c r="H1611">
        <v>3</v>
      </c>
      <c r="I1611">
        <v>4</v>
      </c>
      <c r="J1611">
        <v>10</v>
      </c>
      <c r="K1611">
        <f t="shared" si="26"/>
        <v>3</v>
      </c>
    </row>
    <row r="1612" spans="2:11" x14ac:dyDescent="0.35">
      <c r="B1612" t="s">
        <v>1608</v>
      </c>
      <c r="C1612">
        <v>21</v>
      </c>
      <c r="D1612">
        <v>1</v>
      </c>
      <c r="E1612">
        <v>2</v>
      </c>
      <c r="F1612">
        <v>1</v>
      </c>
      <c r="G1612">
        <v>0</v>
      </c>
      <c r="H1612">
        <v>4</v>
      </c>
      <c r="I1612">
        <v>7</v>
      </c>
      <c r="J1612">
        <v>7</v>
      </c>
      <c r="K1612">
        <f t="shared" ref="K1612:K1675" si="27">COUNTIF(D1612:I1612, "&gt;0")</f>
        <v>5</v>
      </c>
    </row>
    <row r="1613" spans="2:11" x14ac:dyDescent="0.35">
      <c r="B1613" t="s">
        <v>1609</v>
      </c>
      <c r="C1613">
        <v>23</v>
      </c>
      <c r="D1613">
        <v>1</v>
      </c>
      <c r="E1613">
        <v>0</v>
      </c>
      <c r="F1613">
        <v>0</v>
      </c>
      <c r="G1613">
        <v>0</v>
      </c>
      <c r="H1613">
        <v>1</v>
      </c>
      <c r="I1613">
        <v>10</v>
      </c>
      <c r="J1613">
        <v>12</v>
      </c>
      <c r="K1613">
        <f t="shared" si="27"/>
        <v>3</v>
      </c>
    </row>
    <row r="1614" spans="2:11" x14ac:dyDescent="0.35">
      <c r="B1614" t="s">
        <v>1610</v>
      </c>
      <c r="C1614">
        <v>63</v>
      </c>
      <c r="D1614">
        <v>0</v>
      </c>
      <c r="E1614">
        <v>0</v>
      </c>
      <c r="F1614">
        <v>0</v>
      </c>
      <c r="G1614">
        <v>3</v>
      </c>
      <c r="H1614">
        <v>2</v>
      </c>
      <c r="I1614">
        <v>12</v>
      </c>
      <c r="J1614">
        <v>47</v>
      </c>
      <c r="K1614">
        <f t="shared" si="27"/>
        <v>3</v>
      </c>
    </row>
    <row r="1615" spans="2:11" x14ac:dyDescent="0.35">
      <c r="B1615" t="s">
        <v>1611</v>
      </c>
      <c r="C1615">
        <v>58</v>
      </c>
      <c r="D1615">
        <v>7</v>
      </c>
      <c r="E1615">
        <v>0</v>
      </c>
      <c r="F1615">
        <v>0</v>
      </c>
      <c r="G1615">
        <v>5</v>
      </c>
      <c r="H1615">
        <v>4</v>
      </c>
      <c r="I1615">
        <v>21</v>
      </c>
      <c r="J1615">
        <v>22</v>
      </c>
      <c r="K1615">
        <f t="shared" si="27"/>
        <v>4</v>
      </c>
    </row>
    <row r="1616" spans="2:11" x14ac:dyDescent="0.35">
      <c r="B1616" t="s">
        <v>1612</v>
      </c>
      <c r="C1616">
        <v>53</v>
      </c>
      <c r="D1616">
        <v>6</v>
      </c>
      <c r="E1616">
        <v>0</v>
      </c>
      <c r="F1616">
        <v>2</v>
      </c>
      <c r="G1616">
        <v>0</v>
      </c>
      <c r="H1616">
        <v>4</v>
      </c>
      <c r="I1616">
        <v>17</v>
      </c>
      <c r="J1616">
        <v>25</v>
      </c>
      <c r="K1616">
        <f t="shared" si="27"/>
        <v>4</v>
      </c>
    </row>
    <row r="1617" spans="2:11" x14ac:dyDescent="0.35">
      <c r="B1617" t="s">
        <v>1613</v>
      </c>
      <c r="C1617">
        <v>27</v>
      </c>
      <c r="D1617">
        <v>6</v>
      </c>
      <c r="E1617">
        <v>0</v>
      </c>
      <c r="F1617">
        <v>0</v>
      </c>
      <c r="G1617">
        <v>0</v>
      </c>
      <c r="H1617">
        <v>0</v>
      </c>
      <c r="I1617">
        <v>16</v>
      </c>
      <c r="J1617">
        <v>6</v>
      </c>
      <c r="K1617">
        <f t="shared" si="27"/>
        <v>2</v>
      </c>
    </row>
    <row r="1618" spans="2:11" x14ac:dyDescent="0.35">
      <c r="B1618" t="s">
        <v>1614</v>
      </c>
      <c r="C1618">
        <v>19</v>
      </c>
      <c r="D1618">
        <v>2</v>
      </c>
      <c r="E1618">
        <v>0</v>
      </c>
      <c r="F1618">
        <v>0</v>
      </c>
      <c r="G1618">
        <v>0</v>
      </c>
      <c r="H1618">
        <v>0</v>
      </c>
      <c r="I1618">
        <v>9</v>
      </c>
      <c r="J1618">
        <v>9</v>
      </c>
      <c r="K1618">
        <f t="shared" si="27"/>
        <v>2</v>
      </c>
    </row>
    <row r="1619" spans="2:11" x14ac:dyDescent="0.35">
      <c r="B1619" t="s">
        <v>1615</v>
      </c>
      <c r="C1619">
        <v>16</v>
      </c>
      <c r="D1619">
        <v>2</v>
      </c>
      <c r="E1619">
        <v>0</v>
      </c>
      <c r="F1619">
        <v>0</v>
      </c>
      <c r="G1619">
        <v>0</v>
      </c>
      <c r="H1619">
        <v>0</v>
      </c>
      <c r="I1619">
        <v>10</v>
      </c>
      <c r="J1619">
        <v>5</v>
      </c>
      <c r="K1619">
        <f t="shared" si="27"/>
        <v>2</v>
      </c>
    </row>
    <row r="1620" spans="2:11" x14ac:dyDescent="0.35">
      <c r="B1620" t="s">
        <v>1616</v>
      </c>
      <c r="C1620">
        <v>32</v>
      </c>
      <c r="D1620">
        <v>1</v>
      </c>
      <c r="E1620">
        <v>0</v>
      </c>
      <c r="F1620">
        <v>0</v>
      </c>
      <c r="G1620">
        <v>0</v>
      </c>
      <c r="H1620">
        <v>2</v>
      </c>
      <c r="I1620">
        <v>10</v>
      </c>
      <c r="J1620">
        <v>20</v>
      </c>
      <c r="K1620">
        <f t="shared" si="27"/>
        <v>3</v>
      </c>
    </row>
    <row r="1621" spans="2:11" x14ac:dyDescent="0.35">
      <c r="B1621" t="s">
        <v>1617</v>
      </c>
      <c r="C1621">
        <v>45</v>
      </c>
      <c r="D1621">
        <v>2</v>
      </c>
      <c r="E1621">
        <v>1</v>
      </c>
      <c r="F1621">
        <v>0</v>
      </c>
      <c r="G1621">
        <v>1</v>
      </c>
      <c r="H1621">
        <v>7</v>
      </c>
      <c r="I1621">
        <v>15</v>
      </c>
      <c r="J1621">
        <v>20</v>
      </c>
      <c r="K1621">
        <f t="shared" si="27"/>
        <v>5</v>
      </c>
    </row>
    <row r="1622" spans="2:11" x14ac:dyDescent="0.35">
      <c r="B1622" t="s">
        <v>1618</v>
      </c>
      <c r="C1622">
        <v>313</v>
      </c>
      <c r="D1622">
        <v>14</v>
      </c>
      <c r="E1622">
        <v>0</v>
      </c>
      <c r="F1622">
        <v>0</v>
      </c>
      <c r="G1622">
        <v>54</v>
      </c>
      <c r="H1622">
        <v>58</v>
      </c>
      <c r="I1622">
        <v>69</v>
      </c>
      <c r="J1622">
        <v>119</v>
      </c>
      <c r="K1622">
        <f t="shared" si="27"/>
        <v>4</v>
      </c>
    </row>
    <row r="1623" spans="2:11" x14ac:dyDescent="0.35">
      <c r="B1623" t="s">
        <v>1619</v>
      </c>
      <c r="C1623">
        <v>22</v>
      </c>
      <c r="D1623">
        <v>1</v>
      </c>
      <c r="E1623">
        <v>0</v>
      </c>
      <c r="F1623">
        <v>0</v>
      </c>
      <c r="G1623">
        <v>0</v>
      </c>
      <c r="H1623">
        <v>12</v>
      </c>
      <c r="I1623">
        <v>1</v>
      </c>
      <c r="J1623">
        <v>9</v>
      </c>
      <c r="K1623">
        <f t="shared" si="27"/>
        <v>3</v>
      </c>
    </row>
    <row r="1624" spans="2:11" x14ac:dyDescent="0.35">
      <c r="B1624" t="s">
        <v>1620</v>
      </c>
      <c r="C1624">
        <v>171</v>
      </c>
      <c r="D1624">
        <v>11</v>
      </c>
      <c r="E1624">
        <v>0</v>
      </c>
      <c r="F1624">
        <v>1</v>
      </c>
      <c r="G1624">
        <v>5</v>
      </c>
      <c r="H1624">
        <v>3</v>
      </c>
      <c r="I1624">
        <v>100</v>
      </c>
      <c r="J1624">
        <v>52</v>
      </c>
      <c r="K1624">
        <f t="shared" si="27"/>
        <v>5</v>
      </c>
    </row>
    <row r="1625" spans="2:11" x14ac:dyDescent="0.35">
      <c r="B1625" t="s">
        <v>1621</v>
      </c>
      <c r="C1625">
        <v>127</v>
      </c>
      <c r="D1625">
        <v>1</v>
      </c>
      <c r="E1625">
        <v>0</v>
      </c>
      <c r="F1625">
        <v>0</v>
      </c>
      <c r="G1625">
        <v>13</v>
      </c>
      <c r="H1625">
        <v>3</v>
      </c>
      <c r="I1625">
        <v>11</v>
      </c>
      <c r="J1625">
        <v>100</v>
      </c>
      <c r="K1625">
        <f t="shared" si="27"/>
        <v>4</v>
      </c>
    </row>
    <row r="1626" spans="2:11" x14ac:dyDescent="0.35">
      <c r="B1626" t="s">
        <v>1622</v>
      </c>
      <c r="C1626">
        <v>9</v>
      </c>
      <c r="D1626">
        <v>0</v>
      </c>
      <c r="E1626">
        <v>0</v>
      </c>
      <c r="F1626">
        <v>0</v>
      </c>
      <c r="G1626">
        <v>0</v>
      </c>
      <c r="H1626">
        <v>1</v>
      </c>
      <c r="I1626">
        <v>2</v>
      </c>
      <c r="J1626">
        <v>7</v>
      </c>
      <c r="K1626">
        <f t="shared" si="27"/>
        <v>2</v>
      </c>
    </row>
    <row r="1627" spans="2:11" x14ac:dyDescent="0.35">
      <c r="B1627" t="s">
        <v>1623</v>
      </c>
      <c r="C1627">
        <v>100</v>
      </c>
      <c r="D1627">
        <v>6</v>
      </c>
      <c r="E1627">
        <v>0</v>
      </c>
      <c r="F1627">
        <v>3</v>
      </c>
      <c r="G1627">
        <v>4</v>
      </c>
      <c r="H1627">
        <v>13</v>
      </c>
      <c r="I1627">
        <v>28</v>
      </c>
      <c r="J1627">
        <v>47</v>
      </c>
      <c r="K1627">
        <f t="shared" si="27"/>
        <v>5</v>
      </c>
    </row>
    <row r="1628" spans="2:11" x14ac:dyDescent="0.35">
      <c r="B1628" t="s">
        <v>1624</v>
      </c>
      <c r="C1628">
        <v>12</v>
      </c>
      <c r="D1628">
        <v>3</v>
      </c>
      <c r="E1628">
        <v>0</v>
      </c>
      <c r="F1628">
        <v>0</v>
      </c>
      <c r="G1628">
        <v>1</v>
      </c>
      <c r="H1628">
        <v>0</v>
      </c>
      <c r="I1628">
        <v>3</v>
      </c>
      <c r="J1628">
        <v>6</v>
      </c>
      <c r="K1628">
        <f t="shared" si="27"/>
        <v>3</v>
      </c>
    </row>
    <row r="1629" spans="2:11" x14ac:dyDescent="0.35">
      <c r="B1629" t="s">
        <v>1625</v>
      </c>
      <c r="C1629">
        <v>118</v>
      </c>
      <c r="D1629">
        <v>9</v>
      </c>
      <c r="E1629">
        <v>2</v>
      </c>
      <c r="F1629">
        <v>1</v>
      </c>
      <c r="G1629">
        <v>8</v>
      </c>
      <c r="H1629">
        <v>12</v>
      </c>
      <c r="I1629">
        <v>49</v>
      </c>
      <c r="J1629">
        <v>38</v>
      </c>
      <c r="K1629">
        <f t="shared" si="27"/>
        <v>6</v>
      </c>
    </row>
    <row r="1630" spans="2:11" x14ac:dyDescent="0.35">
      <c r="B1630" t="s">
        <v>1626</v>
      </c>
      <c r="C1630">
        <v>140</v>
      </c>
      <c r="D1630">
        <v>6</v>
      </c>
      <c r="E1630">
        <v>0</v>
      </c>
      <c r="F1630">
        <v>1</v>
      </c>
      <c r="G1630">
        <v>36</v>
      </c>
      <c r="H1630">
        <v>15</v>
      </c>
      <c r="I1630">
        <v>36</v>
      </c>
      <c r="J1630">
        <v>47</v>
      </c>
      <c r="K1630">
        <f t="shared" si="27"/>
        <v>5</v>
      </c>
    </row>
    <row r="1631" spans="2:11" x14ac:dyDescent="0.35">
      <c r="B1631" t="s">
        <v>1627</v>
      </c>
      <c r="C1631">
        <v>34</v>
      </c>
      <c r="D1631">
        <v>2</v>
      </c>
      <c r="E1631">
        <v>0</v>
      </c>
      <c r="F1631">
        <v>0</v>
      </c>
      <c r="G1631">
        <v>1</v>
      </c>
      <c r="H1631">
        <v>0</v>
      </c>
      <c r="I1631">
        <v>12</v>
      </c>
      <c r="J1631">
        <v>20</v>
      </c>
      <c r="K1631">
        <f t="shared" si="27"/>
        <v>3</v>
      </c>
    </row>
    <row r="1632" spans="2:11" x14ac:dyDescent="0.35">
      <c r="B1632" t="s">
        <v>1628</v>
      </c>
      <c r="C1632">
        <v>14</v>
      </c>
      <c r="D1632">
        <v>3</v>
      </c>
      <c r="E1632">
        <v>0</v>
      </c>
      <c r="F1632">
        <v>0</v>
      </c>
      <c r="G1632">
        <v>0</v>
      </c>
      <c r="H1632">
        <v>0</v>
      </c>
      <c r="I1632">
        <v>10</v>
      </c>
      <c r="J1632">
        <v>2</v>
      </c>
      <c r="K1632">
        <f t="shared" si="27"/>
        <v>2</v>
      </c>
    </row>
    <row r="1633" spans="2:11" x14ac:dyDescent="0.35">
      <c r="B1633" t="s">
        <v>1629</v>
      </c>
      <c r="C1633">
        <v>73</v>
      </c>
      <c r="D1633">
        <v>15</v>
      </c>
      <c r="E1633">
        <v>0</v>
      </c>
      <c r="F1633">
        <v>0</v>
      </c>
      <c r="G1633">
        <v>0</v>
      </c>
      <c r="H1633">
        <v>4</v>
      </c>
      <c r="I1633">
        <v>6</v>
      </c>
      <c r="J1633">
        <v>49</v>
      </c>
      <c r="K1633">
        <f t="shared" si="27"/>
        <v>3</v>
      </c>
    </row>
    <row r="1634" spans="2:11" x14ac:dyDescent="0.35">
      <c r="B1634" t="s">
        <v>1630</v>
      </c>
      <c r="C1634">
        <v>44</v>
      </c>
      <c r="D1634">
        <v>1</v>
      </c>
      <c r="E1634">
        <v>0</v>
      </c>
      <c r="F1634">
        <v>1</v>
      </c>
      <c r="G1634">
        <v>0</v>
      </c>
      <c r="H1634">
        <v>2</v>
      </c>
      <c r="I1634">
        <v>14</v>
      </c>
      <c r="J1634">
        <v>27</v>
      </c>
      <c r="K1634">
        <f t="shared" si="27"/>
        <v>4</v>
      </c>
    </row>
    <row r="1635" spans="2:11" x14ac:dyDescent="0.35">
      <c r="B1635" t="s">
        <v>1631</v>
      </c>
      <c r="C1635">
        <v>42</v>
      </c>
      <c r="D1635">
        <v>5</v>
      </c>
      <c r="E1635">
        <v>0</v>
      </c>
      <c r="F1635">
        <v>1</v>
      </c>
      <c r="G1635">
        <v>0</v>
      </c>
      <c r="H1635">
        <v>1</v>
      </c>
      <c r="I1635">
        <v>10</v>
      </c>
      <c r="J1635">
        <v>26</v>
      </c>
      <c r="K1635">
        <f t="shared" si="27"/>
        <v>4</v>
      </c>
    </row>
    <row r="1636" spans="2:11" x14ac:dyDescent="0.35">
      <c r="B1636" t="s">
        <v>1632</v>
      </c>
      <c r="C1636">
        <v>14</v>
      </c>
      <c r="D1636">
        <v>1</v>
      </c>
      <c r="E1636">
        <v>1</v>
      </c>
      <c r="F1636">
        <v>0</v>
      </c>
      <c r="G1636">
        <v>0</v>
      </c>
      <c r="H1636">
        <v>3</v>
      </c>
      <c r="I1636">
        <v>1</v>
      </c>
      <c r="J1636">
        <v>9</v>
      </c>
      <c r="K1636">
        <f t="shared" si="27"/>
        <v>4</v>
      </c>
    </row>
    <row r="1637" spans="2:11" x14ac:dyDescent="0.35">
      <c r="B1637" t="s">
        <v>1633</v>
      </c>
      <c r="C1637">
        <v>21</v>
      </c>
      <c r="D1637">
        <v>1</v>
      </c>
      <c r="E1637">
        <v>0</v>
      </c>
      <c r="F1637">
        <v>0</v>
      </c>
      <c r="G1637">
        <v>0</v>
      </c>
      <c r="H1637">
        <v>4</v>
      </c>
      <c r="I1637">
        <v>5</v>
      </c>
      <c r="J1637">
        <v>12</v>
      </c>
      <c r="K1637">
        <f t="shared" si="27"/>
        <v>3</v>
      </c>
    </row>
    <row r="1638" spans="2:11" x14ac:dyDescent="0.35">
      <c r="B1638" t="s">
        <v>1634</v>
      </c>
      <c r="C1638">
        <v>53</v>
      </c>
      <c r="D1638">
        <v>8</v>
      </c>
      <c r="E1638">
        <v>0</v>
      </c>
      <c r="F1638">
        <v>0</v>
      </c>
      <c r="G1638">
        <v>4</v>
      </c>
      <c r="H1638">
        <v>0</v>
      </c>
      <c r="I1638">
        <v>29</v>
      </c>
      <c r="J1638">
        <v>13</v>
      </c>
      <c r="K1638">
        <f t="shared" si="27"/>
        <v>3</v>
      </c>
    </row>
    <row r="1639" spans="2:11" x14ac:dyDescent="0.35">
      <c r="B1639" t="s">
        <v>1635</v>
      </c>
      <c r="C1639">
        <v>81</v>
      </c>
      <c r="D1639">
        <v>4</v>
      </c>
      <c r="E1639">
        <v>0</v>
      </c>
      <c r="F1639">
        <v>0</v>
      </c>
      <c r="G1639">
        <v>2</v>
      </c>
      <c r="H1639">
        <v>6</v>
      </c>
      <c r="I1639">
        <v>32</v>
      </c>
      <c r="J1639">
        <v>38</v>
      </c>
      <c r="K1639">
        <f t="shared" si="27"/>
        <v>4</v>
      </c>
    </row>
    <row r="1640" spans="2:11" x14ac:dyDescent="0.35">
      <c r="B1640" t="s">
        <v>1636</v>
      </c>
      <c r="C1640">
        <v>9</v>
      </c>
      <c r="D1640">
        <v>0</v>
      </c>
      <c r="E1640">
        <v>0</v>
      </c>
      <c r="F1640">
        <v>0</v>
      </c>
      <c r="G1640">
        <v>1</v>
      </c>
      <c r="H1640">
        <v>3</v>
      </c>
      <c r="I1640">
        <v>6</v>
      </c>
      <c r="J1640">
        <v>0</v>
      </c>
      <c r="K1640">
        <f t="shared" si="27"/>
        <v>3</v>
      </c>
    </row>
    <row r="1641" spans="2:11" x14ac:dyDescent="0.35">
      <c r="B1641" t="s">
        <v>1637</v>
      </c>
      <c r="C1641">
        <v>38</v>
      </c>
      <c r="D1641">
        <v>0</v>
      </c>
      <c r="E1641">
        <v>0</v>
      </c>
      <c r="F1641">
        <v>0</v>
      </c>
      <c r="G1641">
        <v>1</v>
      </c>
      <c r="H1641">
        <v>2</v>
      </c>
      <c r="I1641">
        <v>16</v>
      </c>
      <c r="J1641">
        <v>20</v>
      </c>
      <c r="K1641">
        <f t="shared" si="27"/>
        <v>3</v>
      </c>
    </row>
    <row r="1642" spans="2:11" x14ac:dyDescent="0.35">
      <c r="B1642" t="s">
        <v>1638</v>
      </c>
      <c r="C1642">
        <v>7</v>
      </c>
      <c r="D1642">
        <v>2</v>
      </c>
      <c r="E1642">
        <v>0</v>
      </c>
      <c r="F1642">
        <v>0</v>
      </c>
      <c r="G1642">
        <v>0</v>
      </c>
      <c r="H1642">
        <v>0</v>
      </c>
      <c r="I1642">
        <v>1</v>
      </c>
      <c r="J1642">
        <v>5</v>
      </c>
      <c r="K1642">
        <f t="shared" si="27"/>
        <v>2</v>
      </c>
    </row>
    <row r="1643" spans="2:11" x14ac:dyDescent="0.35">
      <c r="B1643" t="s">
        <v>1639</v>
      </c>
      <c r="C1643">
        <v>37</v>
      </c>
      <c r="D1643">
        <v>7</v>
      </c>
      <c r="E1643">
        <v>0</v>
      </c>
      <c r="F1643">
        <v>0</v>
      </c>
      <c r="G1643">
        <v>2</v>
      </c>
      <c r="H1643">
        <v>0</v>
      </c>
      <c r="I1643">
        <v>19</v>
      </c>
      <c r="J1643">
        <v>10</v>
      </c>
      <c r="K1643">
        <f t="shared" si="27"/>
        <v>3</v>
      </c>
    </row>
    <row r="1644" spans="2:11" x14ac:dyDescent="0.35">
      <c r="B1644" t="s">
        <v>1640</v>
      </c>
      <c r="C1644">
        <v>37</v>
      </c>
      <c r="D1644">
        <v>8</v>
      </c>
      <c r="E1644">
        <v>0</v>
      </c>
      <c r="F1644">
        <v>0</v>
      </c>
      <c r="G1644">
        <v>2</v>
      </c>
      <c r="H1644">
        <v>0</v>
      </c>
      <c r="I1644">
        <v>18</v>
      </c>
      <c r="J1644">
        <v>10</v>
      </c>
      <c r="K1644">
        <f t="shared" si="27"/>
        <v>3</v>
      </c>
    </row>
    <row r="1645" spans="2:11" x14ac:dyDescent="0.35">
      <c r="B1645" t="s">
        <v>1641</v>
      </c>
      <c r="C1645">
        <v>50</v>
      </c>
      <c r="D1645">
        <v>7</v>
      </c>
      <c r="E1645">
        <v>0</v>
      </c>
      <c r="F1645">
        <v>0</v>
      </c>
      <c r="G1645">
        <v>4</v>
      </c>
      <c r="H1645">
        <v>3</v>
      </c>
      <c r="I1645">
        <v>25</v>
      </c>
      <c r="J1645">
        <v>12</v>
      </c>
      <c r="K1645">
        <f t="shared" si="27"/>
        <v>4</v>
      </c>
    </row>
    <row r="1646" spans="2:11" x14ac:dyDescent="0.35">
      <c r="B1646" t="s">
        <v>1642</v>
      </c>
      <c r="C1646">
        <v>25</v>
      </c>
      <c r="D1646">
        <v>2</v>
      </c>
      <c r="E1646">
        <v>2</v>
      </c>
      <c r="F1646">
        <v>1</v>
      </c>
      <c r="G1646">
        <v>0</v>
      </c>
      <c r="H1646">
        <v>1</v>
      </c>
      <c r="I1646">
        <v>4</v>
      </c>
      <c r="J1646">
        <v>16</v>
      </c>
      <c r="K1646">
        <f t="shared" si="27"/>
        <v>5</v>
      </c>
    </row>
    <row r="1647" spans="2:11" x14ac:dyDescent="0.35">
      <c r="B1647" t="s">
        <v>1643</v>
      </c>
      <c r="C1647">
        <v>13</v>
      </c>
      <c r="D1647">
        <v>1</v>
      </c>
      <c r="E1647">
        <v>0</v>
      </c>
      <c r="F1647">
        <v>0</v>
      </c>
      <c r="G1647">
        <v>4</v>
      </c>
      <c r="H1647">
        <v>5</v>
      </c>
      <c r="I1647">
        <v>4</v>
      </c>
      <c r="J1647">
        <v>0</v>
      </c>
      <c r="K1647">
        <f t="shared" si="27"/>
        <v>4</v>
      </c>
    </row>
    <row r="1648" spans="2:11" x14ac:dyDescent="0.35">
      <c r="B1648" t="s">
        <v>1644</v>
      </c>
      <c r="C1648">
        <v>34</v>
      </c>
      <c r="D1648">
        <v>8</v>
      </c>
      <c r="E1648">
        <v>0</v>
      </c>
      <c r="F1648">
        <v>0</v>
      </c>
      <c r="G1648">
        <v>3</v>
      </c>
      <c r="H1648">
        <v>0</v>
      </c>
      <c r="I1648">
        <v>11</v>
      </c>
      <c r="J1648">
        <v>13</v>
      </c>
      <c r="K1648">
        <f t="shared" si="27"/>
        <v>3</v>
      </c>
    </row>
    <row r="1649" spans="2:11" x14ac:dyDescent="0.35">
      <c r="B1649" t="s">
        <v>1645</v>
      </c>
      <c r="C1649">
        <v>22</v>
      </c>
      <c r="D1649">
        <v>0</v>
      </c>
      <c r="E1649">
        <v>0</v>
      </c>
      <c r="F1649">
        <v>0</v>
      </c>
      <c r="G1649">
        <v>6</v>
      </c>
      <c r="H1649">
        <v>1</v>
      </c>
      <c r="I1649">
        <v>6</v>
      </c>
      <c r="J1649">
        <v>10</v>
      </c>
      <c r="K1649">
        <f t="shared" si="27"/>
        <v>3</v>
      </c>
    </row>
    <row r="1650" spans="2:11" x14ac:dyDescent="0.35">
      <c r="B1650" t="s">
        <v>1646</v>
      </c>
      <c r="C1650">
        <v>10</v>
      </c>
      <c r="D1650">
        <v>3</v>
      </c>
      <c r="E1650">
        <v>0</v>
      </c>
      <c r="F1650">
        <v>0</v>
      </c>
      <c r="G1650">
        <v>0</v>
      </c>
      <c r="H1650">
        <v>2</v>
      </c>
      <c r="I1650">
        <v>5</v>
      </c>
      <c r="J1650">
        <v>1</v>
      </c>
      <c r="K1650">
        <f t="shared" si="27"/>
        <v>3</v>
      </c>
    </row>
    <row r="1651" spans="2:11" x14ac:dyDescent="0.35">
      <c r="B1651" t="s">
        <v>1647</v>
      </c>
      <c r="C1651">
        <v>8</v>
      </c>
      <c r="D1651">
        <v>0</v>
      </c>
      <c r="E1651">
        <v>0</v>
      </c>
      <c r="F1651">
        <v>0</v>
      </c>
      <c r="G1651">
        <v>1</v>
      </c>
      <c r="H1651">
        <v>0</v>
      </c>
      <c r="I1651">
        <v>0</v>
      </c>
      <c r="J1651">
        <v>8</v>
      </c>
      <c r="K1651">
        <f t="shared" si="27"/>
        <v>1</v>
      </c>
    </row>
    <row r="1652" spans="2:11" x14ac:dyDescent="0.35">
      <c r="B1652" t="s">
        <v>1648</v>
      </c>
      <c r="C1652">
        <v>91</v>
      </c>
      <c r="D1652">
        <v>6</v>
      </c>
      <c r="E1652">
        <v>0</v>
      </c>
      <c r="F1652">
        <v>4</v>
      </c>
      <c r="G1652">
        <v>15</v>
      </c>
      <c r="H1652">
        <v>8</v>
      </c>
      <c r="I1652">
        <v>14</v>
      </c>
      <c r="J1652">
        <v>45</v>
      </c>
      <c r="K1652">
        <f t="shared" si="27"/>
        <v>5</v>
      </c>
    </row>
    <row r="1653" spans="2:11" x14ac:dyDescent="0.35">
      <c r="B1653" t="s">
        <v>1649</v>
      </c>
      <c r="C1653">
        <v>2</v>
      </c>
      <c r="D1653">
        <v>1</v>
      </c>
      <c r="E1653">
        <v>0</v>
      </c>
      <c r="F1653">
        <v>0</v>
      </c>
      <c r="G1653">
        <v>0</v>
      </c>
      <c r="H1653">
        <v>0</v>
      </c>
      <c r="I1653">
        <v>1</v>
      </c>
      <c r="J1653">
        <v>1</v>
      </c>
      <c r="K1653">
        <f t="shared" si="27"/>
        <v>2</v>
      </c>
    </row>
    <row r="1654" spans="2:11" x14ac:dyDescent="0.35">
      <c r="B1654" t="s">
        <v>1650</v>
      </c>
      <c r="C1654">
        <v>59</v>
      </c>
      <c r="D1654">
        <v>4</v>
      </c>
      <c r="E1654">
        <v>1</v>
      </c>
      <c r="F1654">
        <v>0</v>
      </c>
      <c r="G1654">
        <v>1</v>
      </c>
      <c r="H1654">
        <v>7</v>
      </c>
      <c r="I1654">
        <v>22</v>
      </c>
      <c r="J1654">
        <v>25</v>
      </c>
      <c r="K1654">
        <f t="shared" si="27"/>
        <v>5</v>
      </c>
    </row>
    <row r="1655" spans="2:11" x14ac:dyDescent="0.35">
      <c r="B1655" t="s">
        <v>1651</v>
      </c>
      <c r="C1655">
        <v>120</v>
      </c>
      <c r="D1655">
        <v>6</v>
      </c>
      <c r="E1655">
        <v>1</v>
      </c>
      <c r="F1655">
        <v>0</v>
      </c>
      <c r="G1655">
        <v>25</v>
      </c>
      <c r="H1655">
        <v>19</v>
      </c>
      <c r="I1655">
        <v>23</v>
      </c>
      <c r="J1655">
        <v>47</v>
      </c>
      <c r="K1655">
        <f t="shared" si="27"/>
        <v>5</v>
      </c>
    </row>
    <row r="1656" spans="2:11" x14ac:dyDescent="0.35">
      <c r="B1656" t="s">
        <v>1652</v>
      </c>
      <c r="C1656">
        <v>26</v>
      </c>
      <c r="D1656">
        <v>4</v>
      </c>
      <c r="E1656">
        <v>0</v>
      </c>
      <c r="F1656">
        <v>1</v>
      </c>
      <c r="G1656">
        <v>0</v>
      </c>
      <c r="H1656">
        <v>1</v>
      </c>
      <c r="I1656">
        <v>6</v>
      </c>
      <c r="J1656">
        <v>15</v>
      </c>
      <c r="K1656">
        <f t="shared" si="27"/>
        <v>4</v>
      </c>
    </row>
    <row r="1657" spans="2:11" x14ac:dyDescent="0.35">
      <c r="B1657" t="s">
        <v>1653</v>
      </c>
      <c r="C1657">
        <v>40</v>
      </c>
      <c r="D1657">
        <v>1</v>
      </c>
      <c r="E1657">
        <v>0</v>
      </c>
      <c r="F1657">
        <v>0</v>
      </c>
      <c r="G1657">
        <v>5</v>
      </c>
      <c r="H1657">
        <v>1</v>
      </c>
      <c r="I1657">
        <v>10</v>
      </c>
      <c r="J1657">
        <v>24</v>
      </c>
      <c r="K1657">
        <f t="shared" si="27"/>
        <v>4</v>
      </c>
    </row>
    <row r="1658" spans="2:11" x14ac:dyDescent="0.35">
      <c r="B1658" t="s">
        <v>1654</v>
      </c>
      <c r="C1658">
        <v>151</v>
      </c>
      <c r="D1658">
        <v>13</v>
      </c>
      <c r="E1658">
        <v>0</v>
      </c>
      <c r="F1658">
        <v>0</v>
      </c>
      <c r="G1658">
        <v>14</v>
      </c>
      <c r="H1658">
        <v>4</v>
      </c>
      <c r="I1658">
        <v>50</v>
      </c>
      <c r="J1658">
        <v>71</v>
      </c>
      <c r="K1658">
        <f t="shared" si="27"/>
        <v>4</v>
      </c>
    </row>
    <row r="1659" spans="2:11" x14ac:dyDescent="0.35">
      <c r="B1659" t="s">
        <v>1655</v>
      </c>
      <c r="C1659">
        <v>16</v>
      </c>
      <c r="D1659">
        <v>1</v>
      </c>
      <c r="E1659">
        <v>0</v>
      </c>
      <c r="F1659">
        <v>0</v>
      </c>
      <c r="G1659">
        <v>4</v>
      </c>
      <c r="H1659">
        <v>3</v>
      </c>
      <c r="I1659">
        <v>7</v>
      </c>
      <c r="J1659">
        <v>2</v>
      </c>
      <c r="K1659">
        <f t="shared" si="27"/>
        <v>4</v>
      </c>
    </row>
    <row r="1660" spans="2:11" x14ac:dyDescent="0.35">
      <c r="B1660" t="s">
        <v>1656</v>
      </c>
      <c r="C1660">
        <v>67</v>
      </c>
      <c r="D1660">
        <v>4</v>
      </c>
      <c r="E1660">
        <v>0</v>
      </c>
      <c r="F1660">
        <v>0</v>
      </c>
      <c r="G1660">
        <v>0</v>
      </c>
      <c r="H1660">
        <v>1</v>
      </c>
      <c r="I1660">
        <v>13</v>
      </c>
      <c r="J1660">
        <v>50</v>
      </c>
      <c r="K1660">
        <f t="shared" si="27"/>
        <v>3</v>
      </c>
    </row>
    <row r="1661" spans="2:11" x14ac:dyDescent="0.35">
      <c r="B1661" t="s">
        <v>1657</v>
      </c>
      <c r="C1661">
        <v>58</v>
      </c>
      <c r="D1661">
        <v>1</v>
      </c>
      <c r="E1661">
        <v>0</v>
      </c>
      <c r="F1661">
        <v>33</v>
      </c>
      <c r="G1661">
        <v>0</v>
      </c>
      <c r="H1661">
        <v>0</v>
      </c>
      <c r="I1661">
        <v>8</v>
      </c>
      <c r="J1661">
        <v>17</v>
      </c>
      <c r="K1661">
        <f t="shared" si="27"/>
        <v>3</v>
      </c>
    </row>
    <row r="1662" spans="2:11" x14ac:dyDescent="0.35">
      <c r="B1662" t="s">
        <v>1658</v>
      </c>
      <c r="C1662">
        <v>23</v>
      </c>
      <c r="D1662">
        <v>1</v>
      </c>
      <c r="E1662">
        <v>0</v>
      </c>
      <c r="F1662">
        <v>0</v>
      </c>
      <c r="G1662">
        <v>0</v>
      </c>
      <c r="H1662">
        <v>3</v>
      </c>
      <c r="I1662">
        <v>7</v>
      </c>
      <c r="J1662">
        <v>13</v>
      </c>
      <c r="K1662">
        <f t="shared" si="27"/>
        <v>3</v>
      </c>
    </row>
    <row r="1663" spans="2:11" x14ac:dyDescent="0.35">
      <c r="B1663" t="s">
        <v>1659</v>
      </c>
      <c r="C1663">
        <v>97</v>
      </c>
      <c r="D1663">
        <v>3</v>
      </c>
      <c r="E1663">
        <v>0</v>
      </c>
      <c r="F1663">
        <v>2</v>
      </c>
      <c r="G1663">
        <v>4</v>
      </c>
      <c r="H1663">
        <v>13</v>
      </c>
      <c r="I1663">
        <v>15</v>
      </c>
      <c r="J1663">
        <v>61</v>
      </c>
      <c r="K1663">
        <f t="shared" si="27"/>
        <v>5</v>
      </c>
    </row>
    <row r="1664" spans="2:11" x14ac:dyDescent="0.35">
      <c r="B1664" t="s">
        <v>1660</v>
      </c>
      <c r="C1664">
        <v>32</v>
      </c>
      <c r="D1664">
        <v>0</v>
      </c>
      <c r="E1664">
        <v>0</v>
      </c>
      <c r="F1664">
        <v>1</v>
      </c>
      <c r="G1664">
        <v>12</v>
      </c>
      <c r="H1664">
        <v>6</v>
      </c>
      <c r="I1664">
        <v>7</v>
      </c>
      <c r="J1664">
        <v>7</v>
      </c>
      <c r="K1664">
        <f t="shared" si="27"/>
        <v>4</v>
      </c>
    </row>
    <row r="1665" spans="2:11" x14ac:dyDescent="0.35">
      <c r="B1665" t="s">
        <v>1661</v>
      </c>
      <c r="C1665">
        <v>60</v>
      </c>
      <c r="D1665">
        <v>2</v>
      </c>
      <c r="E1665">
        <v>0</v>
      </c>
      <c r="F1665">
        <v>0</v>
      </c>
      <c r="G1665">
        <v>5</v>
      </c>
      <c r="H1665">
        <v>1</v>
      </c>
      <c r="I1665">
        <v>16</v>
      </c>
      <c r="J1665">
        <v>37</v>
      </c>
      <c r="K1665">
        <f t="shared" si="27"/>
        <v>4</v>
      </c>
    </row>
    <row r="1666" spans="2:11" x14ac:dyDescent="0.35">
      <c r="B1666" t="s">
        <v>1662</v>
      </c>
      <c r="C1666">
        <v>46</v>
      </c>
      <c r="D1666">
        <v>1</v>
      </c>
      <c r="E1666">
        <v>0</v>
      </c>
      <c r="F1666">
        <v>0</v>
      </c>
      <c r="G1666">
        <v>1</v>
      </c>
      <c r="H1666">
        <v>11</v>
      </c>
      <c r="I1666">
        <v>15</v>
      </c>
      <c r="J1666">
        <v>19</v>
      </c>
      <c r="K1666">
        <f t="shared" si="27"/>
        <v>4</v>
      </c>
    </row>
    <row r="1667" spans="2:11" x14ac:dyDescent="0.35">
      <c r="B1667" t="s">
        <v>1663</v>
      </c>
      <c r="C1667">
        <v>55</v>
      </c>
      <c r="D1667">
        <v>1</v>
      </c>
      <c r="E1667">
        <v>1</v>
      </c>
      <c r="F1667">
        <v>0</v>
      </c>
      <c r="G1667">
        <v>6</v>
      </c>
      <c r="H1667">
        <v>9</v>
      </c>
      <c r="I1667">
        <v>15</v>
      </c>
      <c r="J1667">
        <v>24</v>
      </c>
      <c r="K1667">
        <f t="shared" si="27"/>
        <v>5</v>
      </c>
    </row>
    <row r="1668" spans="2:11" x14ac:dyDescent="0.35">
      <c r="B1668" t="s">
        <v>1664</v>
      </c>
      <c r="C1668">
        <v>25</v>
      </c>
      <c r="D1668">
        <v>4</v>
      </c>
      <c r="E1668">
        <v>1</v>
      </c>
      <c r="F1668">
        <v>0</v>
      </c>
      <c r="G1668">
        <v>5</v>
      </c>
      <c r="H1668">
        <v>3</v>
      </c>
      <c r="I1668">
        <v>9</v>
      </c>
      <c r="J1668">
        <v>4</v>
      </c>
      <c r="K1668">
        <f t="shared" si="27"/>
        <v>5</v>
      </c>
    </row>
    <row r="1669" spans="2:11" x14ac:dyDescent="0.35">
      <c r="B1669" t="s">
        <v>1665</v>
      </c>
      <c r="C1669">
        <v>71</v>
      </c>
      <c r="D1669">
        <v>3</v>
      </c>
      <c r="E1669">
        <v>0</v>
      </c>
      <c r="F1669">
        <v>0</v>
      </c>
      <c r="G1669">
        <v>14</v>
      </c>
      <c r="H1669">
        <v>7</v>
      </c>
      <c r="I1669">
        <v>34</v>
      </c>
      <c r="J1669">
        <v>14</v>
      </c>
      <c r="K1669">
        <f t="shared" si="27"/>
        <v>4</v>
      </c>
    </row>
    <row r="1670" spans="2:11" x14ac:dyDescent="0.35">
      <c r="B1670" t="s">
        <v>1666</v>
      </c>
      <c r="C1670">
        <v>31</v>
      </c>
      <c r="D1670">
        <v>1</v>
      </c>
      <c r="E1670">
        <v>0</v>
      </c>
      <c r="F1670">
        <v>0</v>
      </c>
      <c r="G1670">
        <v>12</v>
      </c>
      <c r="H1670">
        <v>2</v>
      </c>
      <c r="I1670">
        <v>9</v>
      </c>
      <c r="J1670">
        <v>8</v>
      </c>
      <c r="K1670">
        <f t="shared" si="27"/>
        <v>4</v>
      </c>
    </row>
    <row r="1671" spans="2:11" x14ac:dyDescent="0.35">
      <c r="B1671" t="s">
        <v>1667</v>
      </c>
      <c r="C1671">
        <v>5</v>
      </c>
      <c r="D1671">
        <v>0</v>
      </c>
      <c r="E1671">
        <v>1</v>
      </c>
      <c r="F1671">
        <v>1</v>
      </c>
      <c r="G1671">
        <v>0</v>
      </c>
      <c r="H1671">
        <v>0</v>
      </c>
      <c r="I1671">
        <v>0</v>
      </c>
      <c r="J1671">
        <v>4</v>
      </c>
      <c r="K1671">
        <f t="shared" si="27"/>
        <v>2</v>
      </c>
    </row>
    <row r="1672" spans="2:11" x14ac:dyDescent="0.35">
      <c r="B1672" t="s">
        <v>1668</v>
      </c>
      <c r="C1672">
        <v>21</v>
      </c>
      <c r="D1672">
        <v>2</v>
      </c>
      <c r="E1672">
        <v>0</v>
      </c>
      <c r="F1672">
        <v>0</v>
      </c>
      <c r="G1672">
        <v>2</v>
      </c>
      <c r="H1672">
        <v>0</v>
      </c>
      <c r="I1672">
        <v>10</v>
      </c>
      <c r="J1672">
        <v>8</v>
      </c>
      <c r="K1672">
        <f t="shared" si="27"/>
        <v>3</v>
      </c>
    </row>
    <row r="1673" spans="2:11" x14ac:dyDescent="0.35">
      <c r="B1673" t="s">
        <v>1669</v>
      </c>
      <c r="C1673">
        <v>36</v>
      </c>
      <c r="D1673">
        <v>2</v>
      </c>
      <c r="E1673">
        <v>0</v>
      </c>
      <c r="F1673">
        <v>0</v>
      </c>
      <c r="G1673">
        <v>2</v>
      </c>
      <c r="H1673">
        <v>5</v>
      </c>
      <c r="I1673">
        <v>23</v>
      </c>
      <c r="J1673">
        <v>5</v>
      </c>
      <c r="K1673">
        <f t="shared" si="27"/>
        <v>4</v>
      </c>
    </row>
    <row r="1674" spans="2:11" x14ac:dyDescent="0.35">
      <c r="B1674" t="s">
        <v>1670</v>
      </c>
      <c r="C1674">
        <v>40</v>
      </c>
      <c r="D1674">
        <v>2</v>
      </c>
      <c r="E1674">
        <v>0</v>
      </c>
      <c r="F1674">
        <v>0</v>
      </c>
      <c r="G1674">
        <v>6</v>
      </c>
      <c r="H1674">
        <v>5</v>
      </c>
      <c r="I1674">
        <v>22</v>
      </c>
      <c r="J1674">
        <v>6</v>
      </c>
      <c r="K1674">
        <f t="shared" si="27"/>
        <v>4</v>
      </c>
    </row>
    <row r="1675" spans="2:11" x14ac:dyDescent="0.35">
      <c r="B1675" t="s">
        <v>1671</v>
      </c>
      <c r="C1675">
        <v>42</v>
      </c>
      <c r="D1675">
        <v>3</v>
      </c>
      <c r="E1675">
        <v>0</v>
      </c>
      <c r="F1675">
        <v>0</v>
      </c>
      <c r="G1675">
        <v>4</v>
      </c>
      <c r="H1675">
        <v>5</v>
      </c>
      <c r="I1675">
        <v>25</v>
      </c>
      <c r="J1675">
        <v>6</v>
      </c>
      <c r="K1675">
        <f t="shared" si="27"/>
        <v>4</v>
      </c>
    </row>
    <row r="1676" spans="2:11" x14ac:dyDescent="0.35">
      <c r="B1676" t="s">
        <v>1672</v>
      </c>
      <c r="C1676">
        <v>36</v>
      </c>
      <c r="D1676">
        <v>2</v>
      </c>
      <c r="E1676">
        <v>0</v>
      </c>
      <c r="F1676">
        <v>0</v>
      </c>
      <c r="G1676">
        <v>12</v>
      </c>
      <c r="H1676">
        <v>1</v>
      </c>
      <c r="I1676">
        <v>7</v>
      </c>
      <c r="J1676">
        <v>15</v>
      </c>
      <c r="K1676">
        <f t="shared" ref="K1676:K1739" si="28">COUNTIF(D1676:I1676, "&gt;0")</f>
        <v>4</v>
      </c>
    </row>
    <row r="1677" spans="2:11" x14ac:dyDescent="0.35">
      <c r="B1677" t="s">
        <v>1673</v>
      </c>
      <c r="C1677">
        <v>23</v>
      </c>
      <c r="D1677">
        <v>2</v>
      </c>
      <c r="E1677">
        <v>0</v>
      </c>
      <c r="F1677">
        <v>0</v>
      </c>
      <c r="G1677">
        <v>4</v>
      </c>
      <c r="H1677">
        <v>1</v>
      </c>
      <c r="I1677">
        <v>11</v>
      </c>
      <c r="J1677">
        <v>6</v>
      </c>
      <c r="K1677">
        <f t="shared" si="28"/>
        <v>4</v>
      </c>
    </row>
    <row r="1678" spans="2:11" x14ac:dyDescent="0.35">
      <c r="B1678" t="s">
        <v>1674</v>
      </c>
      <c r="C1678">
        <v>102</v>
      </c>
      <c r="D1678">
        <v>10</v>
      </c>
      <c r="E1678">
        <v>1</v>
      </c>
      <c r="F1678">
        <v>30</v>
      </c>
      <c r="G1678">
        <v>7</v>
      </c>
      <c r="H1678">
        <v>10</v>
      </c>
      <c r="I1678">
        <v>30</v>
      </c>
      <c r="J1678">
        <v>15</v>
      </c>
      <c r="K1678">
        <f t="shared" si="28"/>
        <v>6</v>
      </c>
    </row>
    <row r="1679" spans="2:11" x14ac:dyDescent="0.35">
      <c r="B1679" t="s">
        <v>1675</v>
      </c>
      <c r="C1679">
        <v>40</v>
      </c>
      <c r="D1679">
        <v>2</v>
      </c>
      <c r="E1679">
        <v>0</v>
      </c>
      <c r="F1679">
        <v>0</v>
      </c>
      <c r="G1679">
        <v>5</v>
      </c>
      <c r="H1679">
        <v>5</v>
      </c>
      <c r="I1679">
        <v>10</v>
      </c>
      <c r="J1679">
        <v>19</v>
      </c>
      <c r="K1679">
        <f t="shared" si="28"/>
        <v>4</v>
      </c>
    </row>
    <row r="1680" spans="2:11" x14ac:dyDescent="0.35">
      <c r="B1680" t="s">
        <v>1676</v>
      </c>
      <c r="C1680">
        <v>23</v>
      </c>
      <c r="D1680">
        <v>1</v>
      </c>
      <c r="E1680">
        <v>1</v>
      </c>
      <c r="F1680">
        <v>1</v>
      </c>
      <c r="G1680">
        <v>10</v>
      </c>
      <c r="H1680">
        <v>4</v>
      </c>
      <c r="I1680">
        <v>3</v>
      </c>
      <c r="J1680">
        <v>4</v>
      </c>
      <c r="K1680">
        <f t="shared" si="28"/>
        <v>6</v>
      </c>
    </row>
    <row r="1681" spans="2:11" x14ac:dyDescent="0.35">
      <c r="B1681" t="s">
        <v>1677</v>
      </c>
      <c r="C1681">
        <v>47</v>
      </c>
      <c r="D1681">
        <v>3</v>
      </c>
      <c r="E1681">
        <v>1</v>
      </c>
      <c r="F1681">
        <v>0</v>
      </c>
      <c r="G1681">
        <v>0</v>
      </c>
      <c r="H1681">
        <v>3</v>
      </c>
      <c r="I1681">
        <v>26</v>
      </c>
      <c r="J1681">
        <v>15</v>
      </c>
      <c r="K1681">
        <f t="shared" si="28"/>
        <v>4</v>
      </c>
    </row>
    <row r="1682" spans="2:11" x14ac:dyDescent="0.35">
      <c r="B1682" t="s">
        <v>1678</v>
      </c>
      <c r="C1682">
        <v>79</v>
      </c>
      <c r="D1682">
        <v>5</v>
      </c>
      <c r="E1682">
        <v>0</v>
      </c>
      <c r="F1682">
        <v>0</v>
      </c>
      <c r="G1682">
        <v>9</v>
      </c>
      <c r="H1682">
        <v>3</v>
      </c>
      <c r="I1682">
        <v>30</v>
      </c>
      <c r="J1682">
        <v>33</v>
      </c>
      <c r="K1682">
        <f t="shared" si="28"/>
        <v>4</v>
      </c>
    </row>
    <row r="1683" spans="2:11" x14ac:dyDescent="0.35">
      <c r="B1683" t="s">
        <v>1679</v>
      </c>
      <c r="C1683">
        <v>68</v>
      </c>
      <c r="D1683">
        <v>3</v>
      </c>
      <c r="E1683">
        <v>0</v>
      </c>
      <c r="F1683">
        <v>0</v>
      </c>
      <c r="G1683">
        <v>2</v>
      </c>
      <c r="H1683">
        <v>2</v>
      </c>
      <c r="I1683">
        <v>31</v>
      </c>
      <c r="J1683">
        <v>31</v>
      </c>
      <c r="K1683">
        <f t="shared" si="28"/>
        <v>4</v>
      </c>
    </row>
    <row r="1684" spans="2:11" x14ac:dyDescent="0.35">
      <c r="B1684" t="s">
        <v>1680</v>
      </c>
      <c r="C1684">
        <v>49</v>
      </c>
      <c r="D1684">
        <v>1</v>
      </c>
      <c r="E1684">
        <v>1</v>
      </c>
      <c r="F1684">
        <v>1</v>
      </c>
      <c r="G1684">
        <v>0</v>
      </c>
      <c r="H1684">
        <v>1</v>
      </c>
      <c r="I1684">
        <v>19</v>
      </c>
      <c r="J1684">
        <v>27</v>
      </c>
      <c r="K1684">
        <f t="shared" si="28"/>
        <v>5</v>
      </c>
    </row>
    <row r="1685" spans="2:11" x14ac:dyDescent="0.35">
      <c r="B1685" t="s">
        <v>1681</v>
      </c>
      <c r="C1685">
        <v>23</v>
      </c>
      <c r="D1685">
        <v>4</v>
      </c>
      <c r="E1685">
        <v>1</v>
      </c>
      <c r="F1685">
        <v>0</v>
      </c>
      <c r="G1685">
        <v>0</v>
      </c>
      <c r="H1685">
        <v>0</v>
      </c>
      <c r="I1685">
        <v>8</v>
      </c>
      <c r="J1685">
        <v>11</v>
      </c>
      <c r="K1685">
        <f t="shared" si="28"/>
        <v>3</v>
      </c>
    </row>
    <row r="1686" spans="2:11" x14ac:dyDescent="0.35">
      <c r="B1686" t="s">
        <v>1682</v>
      </c>
      <c r="C1686">
        <v>56</v>
      </c>
      <c r="D1686">
        <v>6</v>
      </c>
      <c r="E1686">
        <v>1</v>
      </c>
      <c r="F1686">
        <v>2</v>
      </c>
      <c r="G1686">
        <v>8</v>
      </c>
      <c r="H1686">
        <v>8</v>
      </c>
      <c r="I1686">
        <v>10</v>
      </c>
      <c r="J1686">
        <v>22</v>
      </c>
      <c r="K1686">
        <f t="shared" si="28"/>
        <v>6</v>
      </c>
    </row>
    <row r="1687" spans="2:11" x14ac:dyDescent="0.35">
      <c r="B1687" t="s">
        <v>1683</v>
      </c>
      <c r="C1687">
        <v>22</v>
      </c>
      <c r="D1687">
        <v>1</v>
      </c>
      <c r="E1687">
        <v>0</v>
      </c>
      <c r="F1687">
        <v>0</v>
      </c>
      <c r="G1687">
        <v>0</v>
      </c>
      <c r="H1687">
        <v>1</v>
      </c>
      <c r="I1687">
        <v>10</v>
      </c>
      <c r="J1687">
        <v>11</v>
      </c>
      <c r="K1687">
        <f t="shared" si="28"/>
        <v>3</v>
      </c>
    </row>
    <row r="1688" spans="2:11" x14ac:dyDescent="0.35">
      <c r="B1688" t="s">
        <v>1684</v>
      </c>
      <c r="C1688">
        <v>20</v>
      </c>
      <c r="D1688">
        <v>0</v>
      </c>
      <c r="E1688">
        <v>0</v>
      </c>
      <c r="F1688">
        <v>1</v>
      </c>
      <c r="G1688">
        <v>1</v>
      </c>
      <c r="H1688">
        <v>4</v>
      </c>
      <c r="I1688">
        <v>12</v>
      </c>
      <c r="J1688">
        <v>3</v>
      </c>
      <c r="K1688">
        <f t="shared" si="28"/>
        <v>4</v>
      </c>
    </row>
    <row r="1689" spans="2:11" x14ac:dyDescent="0.35">
      <c r="B1689" t="s">
        <v>1685</v>
      </c>
      <c r="C1689">
        <v>17</v>
      </c>
      <c r="D1689">
        <v>1</v>
      </c>
      <c r="E1689">
        <v>0</v>
      </c>
      <c r="F1689">
        <v>0</v>
      </c>
      <c r="G1689">
        <v>0</v>
      </c>
      <c r="H1689">
        <v>0</v>
      </c>
      <c r="I1689">
        <v>4</v>
      </c>
      <c r="J1689">
        <v>13</v>
      </c>
      <c r="K1689">
        <f t="shared" si="28"/>
        <v>2</v>
      </c>
    </row>
    <row r="1690" spans="2:11" x14ac:dyDescent="0.35">
      <c r="B1690" t="s">
        <v>1686</v>
      </c>
      <c r="C1690">
        <v>93</v>
      </c>
      <c r="D1690">
        <v>2</v>
      </c>
      <c r="E1690">
        <v>0</v>
      </c>
      <c r="F1690">
        <v>0</v>
      </c>
      <c r="G1690">
        <v>1</v>
      </c>
      <c r="H1690">
        <v>31</v>
      </c>
      <c r="I1690">
        <v>27</v>
      </c>
      <c r="J1690">
        <v>33</v>
      </c>
      <c r="K1690">
        <f t="shared" si="28"/>
        <v>4</v>
      </c>
    </row>
    <row r="1691" spans="2:11" x14ac:dyDescent="0.35">
      <c r="B1691" t="s">
        <v>1687</v>
      </c>
      <c r="C1691">
        <v>16</v>
      </c>
      <c r="D1691">
        <v>4</v>
      </c>
      <c r="E1691">
        <v>0</v>
      </c>
      <c r="F1691">
        <v>0</v>
      </c>
      <c r="G1691">
        <v>0</v>
      </c>
      <c r="H1691">
        <v>0</v>
      </c>
      <c r="I1691">
        <v>7</v>
      </c>
      <c r="J1691">
        <v>6</v>
      </c>
      <c r="K1691">
        <f t="shared" si="28"/>
        <v>2</v>
      </c>
    </row>
    <row r="1692" spans="2:11" x14ac:dyDescent="0.35">
      <c r="B1692" t="s">
        <v>1688</v>
      </c>
      <c r="C1692">
        <v>110</v>
      </c>
      <c r="D1692">
        <v>8</v>
      </c>
      <c r="E1692">
        <v>0</v>
      </c>
      <c r="F1692">
        <v>2</v>
      </c>
      <c r="G1692">
        <v>3</v>
      </c>
      <c r="H1692">
        <v>2</v>
      </c>
      <c r="I1692">
        <v>47</v>
      </c>
      <c r="J1692">
        <v>49</v>
      </c>
      <c r="K1692">
        <f t="shared" si="28"/>
        <v>5</v>
      </c>
    </row>
    <row r="1693" spans="2:11" x14ac:dyDescent="0.35">
      <c r="B1693" t="s">
        <v>1689</v>
      </c>
      <c r="C1693">
        <v>31</v>
      </c>
      <c r="D1693">
        <v>3</v>
      </c>
      <c r="E1693">
        <v>0</v>
      </c>
      <c r="F1693">
        <v>0</v>
      </c>
      <c r="G1693">
        <v>0</v>
      </c>
      <c r="H1693">
        <v>9</v>
      </c>
      <c r="I1693">
        <v>9</v>
      </c>
      <c r="J1693">
        <v>11</v>
      </c>
      <c r="K1693">
        <f t="shared" si="28"/>
        <v>3</v>
      </c>
    </row>
    <row r="1694" spans="2:11" x14ac:dyDescent="0.35">
      <c r="B1694" t="s">
        <v>1690</v>
      </c>
      <c r="C1694">
        <v>10</v>
      </c>
      <c r="D1694">
        <v>0</v>
      </c>
      <c r="E1694">
        <v>0</v>
      </c>
      <c r="F1694">
        <v>0</v>
      </c>
      <c r="G1694">
        <v>3</v>
      </c>
      <c r="H1694">
        <v>2</v>
      </c>
      <c r="I1694">
        <v>4</v>
      </c>
      <c r="J1694">
        <v>2</v>
      </c>
      <c r="K1694">
        <f t="shared" si="28"/>
        <v>3</v>
      </c>
    </row>
    <row r="1695" spans="2:11" x14ac:dyDescent="0.35">
      <c r="B1695" t="s">
        <v>1691</v>
      </c>
      <c r="C1695">
        <v>3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</v>
      </c>
      <c r="K1695">
        <f t="shared" si="28"/>
        <v>1</v>
      </c>
    </row>
    <row r="1696" spans="2:11" x14ac:dyDescent="0.35">
      <c r="B1696" t="s">
        <v>1692</v>
      </c>
      <c r="C1696">
        <v>21</v>
      </c>
      <c r="D1696">
        <v>1</v>
      </c>
      <c r="E1696">
        <v>0</v>
      </c>
      <c r="F1696">
        <v>0</v>
      </c>
      <c r="G1696">
        <v>1</v>
      </c>
      <c r="H1696">
        <v>0</v>
      </c>
      <c r="I1696">
        <v>10</v>
      </c>
      <c r="J1696">
        <v>10</v>
      </c>
      <c r="K1696">
        <f t="shared" si="28"/>
        <v>3</v>
      </c>
    </row>
    <row r="1697" spans="2:11" x14ac:dyDescent="0.35">
      <c r="B1697" t="s">
        <v>1693</v>
      </c>
      <c r="C1697">
        <v>80</v>
      </c>
      <c r="D1697">
        <v>5</v>
      </c>
      <c r="E1697">
        <v>1</v>
      </c>
      <c r="F1697">
        <v>0</v>
      </c>
      <c r="G1697">
        <v>20</v>
      </c>
      <c r="H1697">
        <v>8</v>
      </c>
      <c r="I1697">
        <v>19</v>
      </c>
      <c r="J1697">
        <v>28</v>
      </c>
      <c r="K1697">
        <f t="shared" si="28"/>
        <v>5</v>
      </c>
    </row>
    <row r="1698" spans="2:11" x14ac:dyDescent="0.35">
      <c r="B1698" t="s">
        <v>1694</v>
      </c>
      <c r="C1698">
        <v>19</v>
      </c>
      <c r="D1698">
        <v>2</v>
      </c>
      <c r="E1698">
        <v>1</v>
      </c>
      <c r="F1698">
        <v>1</v>
      </c>
      <c r="G1698">
        <v>6</v>
      </c>
      <c r="H1698">
        <v>1</v>
      </c>
      <c r="I1698">
        <v>3</v>
      </c>
      <c r="J1698">
        <v>6</v>
      </c>
      <c r="K1698">
        <f t="shared" si="28"/>
        <v>6</v>
      </c>
    </row>
    <row r="1699" spans="2:11" x14ac:dyDescent="0.35">
      <c r="B1699" t="s">
        <v>1695</v>
      </c>
      <c r="C1699">
        <v>12</v>
      </c>
      <c r="D1699">
        <v>0</v>
      </c>
      <c r="E1699">
        <v>0</v>
      </c>
      <c r="F1699">
        <v>0</v>
      </c>
      <c r="G1699">
        <v>0</v>
      </c>
      <c r="H1699">
        <v>4</v>
      </c>
      <c r="I1699">
        <v>0</v>
      </c>
      <c r="J1699">
        <v>9</v>
      </c>
      <c r="K1699">
        <f t="shared" si="28"/>
        <v>1</v>
      </c>
    </row>
    <row r="1700" spans="2:11" x14ac:dyDescent="0.35">
      <c r="B1700" t="s">
        <v>1696</v>
      </c>
      <c r="C1700">
        <v>33</v>
      </c>
      <c r="D1700">
        <v>5</v>
      </c>
      <c r="E1700">
        <v>1</v>
      </c>
      <c r="F1700">
        <v>0</v>
      </c>
      <c r="G1700">
        <v>5</v>
      </c>
      <c r="H1700">
        <v>5</v>
      </c>
      <c r="I1700">
        <v>8</v>
      </c>
      <c r="J1700">
        <v>10</v>
      </c>
      <c r="K1700">
        <f t="shared" si="28"/>
        <v>5</v>
      </c>
    </row>
    <row r="1701" spans="2:11" x14ac:dyDescent="0.35">
      <c r="B1701" t="s">
        <v>1697</v>
      </c>
      <c r="C1701">
        <v>30</v>
      </c>
      <c r="D1701">
        <v>5</v>
      </c>
      <c r="E1701">
        <v>1</v>
      </c>
      <c r="F1701">
        <v>1</v>
      </c>
      <c r="G1701">
        <v>4</v>
      </c>
      <c r="H1701">
        <v>4</v>
      </c>
      <c r="I1701">
        <v>9</v>
      </c>
      <c r="J1701">
        <v>7</v>
      </c>
      <c r="K1701">
        <f t="shared" si="28"/>
        <v>6</v>
      </c>
    </row>
    <row r="1702" spans="2:11" x14ac:dyDescent="0.35">
      <c r="B1702" t="s">
        <v>1698</v>
      </c>
      <c r="C1702">
        <v>51</v>
      </c>
      <c r="D1702">
        <v>4</v>
      </c>
      <c r="E1702">
        <v>1</v>
      </c>
      <c r="F1702">
        <v>1</v>
      </c>
      <c r="G1702">
        <v>6</v>
      </c>
      <c r="H1702">
        <v>7</v>
      </c>
      <c r="I1702">
        <v>13</v>
      </c>
      <c r="J1702">
        <v>20</v>
      </c>
      <c r="K1702">
        <f t="shared" si="28"/>
        <v>6</v>
      </c>
    </row>
    <row r="1703" spans="2:11" x14ac:dyDescent="0.35">
      <c r="B1703" t="s">
        <v>1699</v>
      </c>
      <c r="C1703">
        <v>13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6</v>
      </c>
      <c r="J1703">
        <v>8</v>
      </c>
      <c r="K1703">
        <f t="shared" si="28"/>
        <v>1</v>
      </c>
    </row>
    <row r="1704" spans="2:11" x14ac:dyDescent="0.35">
      <c r="B1704" t="s">
        <v>1700</v>
      </c>
      <c r="C1704">
        <v>16</v>
      </c>
      <c r="D1704">
        <v>1</v>
      </c>
      <c r="E1704">
        <v>0</v>
      </c>
      <c r="F1704">
        <v>0</v>
      </c>
      <c r="G1704">
        <v>0</v>
      </c>
      <c r="H1704">
        <v>3</v>
      </c>
      <c r="I1704">
        <v>7</v>
      </c>
      <c r="J1704">
        <v>6</v>
      </c>
      <c r="K1704">
        <f t="shared" si="28"/>
        <v>3</v>
      </c>
    </row>
    <row r="1705" spans="2:11" x14ac:dyDescent="0.35">
      <c r="B1705" t="s">
        <v>1701</v>
      </c>
      <c r="C1705">
        <v>33</v>
      </c>
      <c r="D1705">
        <v>1</v>
      </c>
      <c r="E1705">
        <v>0</v>
      </c>
      <c r="F1705">
        <v>15</v>
      </c>
      <c r="G1705">
        <v>2</v>
      </c>
      <c r="H1705">
        <v>0</v>
      </c>
      <c r="I1705">
        <v>5</v>
      </c>
      <c r="J1705">
        <v>11</v>
      </c>
      <c r="K1705">
        <f t="shared" si="28"/>
        <v>4</v>
      </c>
    </row>
    <row r="1706" spans="2:11" x14ac:dyDescent="0.35">
      <c r="B1706" t="s">
        <v>1702</v>
      </c>
      <c r="C1706">
        <v>37</v>
      </c>
      <c r="D1706">
        <v>1</v>
      </c>
      <c r="E1706">
        <v>0</v>
      </c>
      <c r="F1706">
        <v>0</v>
      </c>
      <c r="G1706">
        <v>0</v>
      </c>
      <c r="H1706">
        <v>16</v>
      </c>
      <c r="I1706">
        <v>5</v>
      </c>
      <c r="J1706">
        <v>16</v>
      </c>
      <c r="K1706">
        <f t="shared" si="28"/>
        <v>3</v>
      </c>
    </row>
    <row r="1707" spans="2:11" x14ac:dyDescent="0.35">
      <c r="B1707" t="s">
        <v>1703</v>
      </c>
      <c r="C1707">
        <v>18</v>
      </c>
      <c r="D1707">
        <v>3</v>
      </c>
      <c r="E1707">
        <v>0</v>
      </c>
      <c r="F1707">
        <v>0</v>
      </c>
      <c r="G1707">
        <v>1</v>
      </c>
      <c r="H1707">
        <v>6</v>
      </c>
      <c r="I1707">
        <v>4</v>
      </c>
      <c r="J1707">
        <v>5</v>
      </c>
      <c r="K1707">
        <f t="shared" si="28"/>
        <v>4</v>
      </c>
    </row>
    <row r="1708" spans="2:11" x14ac:dyDescent="0.35">
      <c r="B1708" t="s">
        <v>1704</v>
      </c>
      <c r="C1708">
        <v>10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4</v>
      </c>
      <c r="J1708">
        <v>7</v>
      </c>
      <c r="K1708">
        <f t="shared" si="28"/>
        <v>1</v>
      </c>
    </row>
    <row r="1709" spans="2:11" x14ac:dyDescent="0.35">
      <c r="B1709" t="s">
        <v>1705</v>
      </c>
      <c r="C1709">
        <v>18</v>
      </c>
      <c r="D1709">
        <v>1</v>
      </c>
      <c r="E1709">
        <v>0</v>
      </c>
      <c r="F1709">
        <v>0</v>
      </c>
      <c r="G1709">
        <v>1</v>
      </c>
      <c r="H1709">
        <v>2</v>
      </c>
      <c r="I1709">
        <v>9</v>
      </c>
      <c r="J1709">
        <v>6</v>
      </c>
      <c r="K1709">
        <f t="shared" si="28"/>
        <v>4</v>
      </c>
    </row>
    <row r="1710" spans="2:11" x14ac:dyDescent="0.35">
      <c r="B1710" t="s">
        <v>1706</v>
      </c>
      <c r="C1710">
        <v>13</v>
      </c>
      <c r="D1710">
        <v>0</v>
      </c>
      <c r="E1710">
        <v>0</v>
      </c>
      <c r="F1710">
        <v>0</v>
      </c>
      <c r="G1710">
        <v>0</v>
      </c>
      <c r="H1710">
        <v>1</v>
      </c>
      <c r="I1710">
        <v>9</v>
      </c>
      <c r="J1710">
        <v>4</v>
      </c>
      <c r="K1710">
        <f t="shared" si="28"/>
        <v>2</v>
      </c>
    </row>
    <row r="1711" spans="2:11" x14ac:dyDescent="0.35">
      <c r="B1711" t="s">
        <v>1707</v>
      </c>
      <c r="C1711">
        <v>16</v>
      </c>
      <c r="D1711">
        <v>3</v>
      </c>
      <c r="E1711">
        <v>0</v>
      </c>
      <c r="F1711">
        <v>0</v>
      </c>
      <c r="G1711">
        <v>0</v>
      </c>
      <c r="H1711">
        <v>1</v>
      </c>
      <c r="I1711">
        <v>2</v>
      </c>
      <c r="J1711">
        <v>11</v>
      </c>
      <c r="K1711">
        <f t="shared" si="28"/>
        <v>3</v>
      </c>
    </row>
    <row r="1712" spans="2:11" x14ac:dyDescent="0.35">
      <c r="B1712" t="s">
        <v>1708</v>
      </c>
      <c r="C1712">
        <v>16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5</v>
      </c>
      <c r="J1712">
        <v>12</v>
      </c>
      <c r="K1712">
        <f t="shared" si="28"/>
        <v>1</v>
      </c>
    </row>
    <row r="1713" spans="2:11" x14ac:dyDescent="0.35">
      <c r="B1713" t="s">
        <v>1709</v>
      </c>
      <c r="C1713">
        <v>4</v>
      </c>
      <c r="D1713">
        <v>0</v>
      </c>
      <c r="E1713">
        <v>0</v>
      </c>
      <c r="F1713">
        <v>0</v>
      </c>
      <c r="G1713">
        <v>0</v>
      </c>
      <c r="H1713">
        <v>1</v>
      </c>
      <c r="I1713">
        <v>2</v>
      </c>
      <c r="J1713">
        <v>2</v>
      </c>
      <c r="K1713">
        <f t="shared" si="28"/>
        <v>2</v>
      </c>
    </row>
    <row r="1714" spans="2:11" x14ac:dyDescent="0.35">
      <c r="B1714" t="s">
        <v>1710</v>
      </c>
      <c r="C1714">
        <v>30</v>
      </c>
      <c r="D1714">
        <v>5</v>
      </c>
      <c r="E1714">
        <v>0</v>
      </c>
      <c r="F1714">
        <v>0</v>
      </c>
      <c r="G1714">
        <v>0</v>
      </c>
      <c r="H1714">
        <v>1</v>
      </c>
      <c r="I1714">
        <v>9</v>
      </c>
      <c r="J1714">
        <v>16</v>
      </c>
      <c r="K1714">
        <f t="shared" si="28"/>
        <v>3</v>
      </c>
    </row>
    <row r="1715" spans="2:11" x14ac:dyDescent="0.35">
      <c r="B1715" t="s">
        <v>1711</v>
      </c>
      <c r="C1715">
        <v>33</v>
      </c>
      <c r="D1715">
        <v>4</v>
      </c>
      <c r="E1715">
        <v>0</v>
      </c>
      <c r="F1715">
        <v>0</v>
      </c>
      <c r="G1715">
        <v>0</v>
      </c>
      <c r="H1715">
        <v>2</v>
      </c>
      <c r="I1715">
        <v>7</v>
      </c>
      <c r="J1715">
        <v>21</v>
      </c>
      <c r="K1715">
        <f t="shared" si="28"/>
        <v>3</v>
      </c>
    </row>
    <row r="1716" spans="2:11" x14ac:dyDescent="0.35">
      <c r="B1716" t="s">
        <v>1712</v>
      </c>
      <c r="C1716">
        <v>23</v>
      </c>
      <c r="D1716">
        <v>0</v>
      </c>
      <c r="E1716">
        <v>1</v>
      </c>
      <c r="F1716">
        <v>0</v>
      </c>
      <c r="G1716">
        <v>2</v>
      </c>
      <c r="H1716">
        <v>0</v>
      </c>
      <c r="I1716">
        <v>9</v>
      </c>
      <c r="J1716">
        <v>12</v>
      </c>
      <c r="K1716">
        <f t="shared" si="28"/>
        <v>3</v>
      </c>
    </row>
    <row r="1717" spans="2:11" x14ac:dyDescent="0.35">
      <c r="B1717" t="s">
        <v>1713</v>
      </c>
      <c r="C1717">
        <v>13</v>
      </c>
      <c r="D1717">
        <v>1</v>
      </c>
      <c r="E1717">
        <v>0</v>
      </c>
      <c r="F1717">
        <v>1</v>
      </c>
      <c r="G1717">
        <v>1</v>
      </c>
      <c r="H1717">
        <v>1</v>
      </c>
      <c r="I1717">
        <v>8</v>
      </c>
      <c r="J1717">
        <v>2</v>
      </c>
      <c r="K1717">
        <f t="shared" si="28"/>
        <v>5</v>
      </c>
    </row>
    <row r="1718" spans="2:11" x14ac:dyDescent="0.35">
      <c r="B1718" t="s">
        <v>1714</v>
      </c>
      <c r="C1718">
        <v>28</v>
      </c>
      <c r="D1718">
        <v>1</v>
      </c>
      <c r="E1718">
        <v>1</v>
      </c>
      <c r="F1718">
        <v>1</v>
      </c>
      <c r="G1718">
        <v>0</v>
      </c>
      <c r="H1718">
        <v>0</v>
      </c>
      <c r="I1718">
        <v>4</v>
      </c>
      <c r="J1718">
        <v>22</v>
      </c>
      <c r="K1718">
        <f t="shared" si="28"/>
        <v>4</v>
      </c>
    </row>
    <row r="1719" spans="2:11" x14ac:dyDescent="0.35">
      <c r="B1719" t="s">
        <v>1715</v>
      </c>
      <c r="C1719">
        <v>12</v>
      </c>
      <c r="D1719">
        <v>4</v>
      </c>
      <c r="E1719">
        <v>0</v>
      </c>
      <c r="F1719">
        <v>0</v>
      </c>
      <c r="G1719">
        <v>1</v>
      </c>
      <c r="H1719">
        <v>1</v>
      </c>
      <c r="I1719">
        <v>1</v>
      </c>
      <c r="J1719">
        <v>6</v>
      </c>
      <c r="K1719">
        <f t="shared" si="28"/>
        <v>4</v>
      </c>
    </row>
    <row r="1720" spans="2:11" x14ac:dyDescent="0.35">
      <c r="B1720" t="s">
        <v>1716</v>
      </c>
      <c r="C1720">
        <v>25</v>
      </c>
      <c r="D1720">
        <v>0</v>
      </c>
      <c r="E1720">
        <v>4</v>
      </c>
      <c r="F1720">
        <v>0</v>
      </c>
      <c r="G1720">
        <v>0</v>
      </c>
      <c r="H1720">
        <v>0</v>
      </c>
      <c r="I1720">
        <v>2</v>
      </c>
      <c r="J1720">
        <v>20</v>
      </c>
      <c r="K1720">
        <f t="shared" si="28"/>
        <v>2</v>
      </c>
    </row>
    <row r="1721" spans="2:11" x14ac:dyDescent="0.35">
      <c r="B1721" t="s">
        <v>1717</v>
      </c>
      <c r="C1721">
        <v>13</v>
      </c>
      <c r="D1721">
        <v>3</v>
      </c>
      <c r="E1721">
        <v>0</v>
      </c>
      <c r="F1721">
        <v>0</v>
      </c>
      <c r="G1721">
        <v>2</v>
      </c>
      <c r="H1721">
        <v>2</v>
      </c>
      <c r="I1721">
        <v>1</v>
      </c>
      <c r="J1721">
        <v>6</v>
      </c>
      <c r="K1721">
        <f t="shared" si="28"/>
        <v>4</v>
      </c>
    </row>
    <row r="1722" spans="2:11" x14ac:dyDescent="0.35">
      <c r="B1722" t="s">
        <v>1718</v>
      </c>
      <c r="C1722">
        <v>28</v>
      </c>
      <c r="D1722">
        <v>2</v>
      </c>
      <c r="E1722">
        <v>0</v>
      </c>
      <c r="F1722">
        <v>0</v>
      </c>
      <c r="G1722">
        <v>7</v>
      </c>
      <c r="H1722">
        <v>5</v>
      </c>
      <c r="I1722">
        <v>8</v>
      </c>
      <c r="J1722">
        <v>7</v>
      </c>
      <c r="K1722">
        <f t="shared" si="28"/>
        <v>4</v>
      </c>
    </row>
    <row r="1723" spans="2:11" x14ac:dyDescent="0.35">
      <c r="B1723" t="s">
        <v>1719</v>
      </c>
      <c r="C1723">
        <v>23</v>
      </c>
      <c r="D1723">
        <v>1</v>
      </c>
      <c r="E1723">
        <v>0</v>
      </c>
      <c r="F1723">
        <v>0</v>
      </c>
      <c r="G1723">
        <v>5</v>
      </c>
      <c r="H1723">
        <v>3</v>
      </c>
      <c r="I1723">
        <v>6</v>
      </c>
      <c r="J1723">
        <v>9</v>
      </c>
      <c r="K1723">
        <f t="shared" si="28"/>
        <v>4</v>
      </c>
    </row>
    <row r="1724" spans="2:11" x14ac:dyDescent="0.35">
      <c r="B1724" t="s">
        <v>1720</v>
      </c>
      <c r="C1724">
        <v>90</v>
      </c>
      <c r="D1724">
        <v>17</v>
      </c>
      <c r="E1724">
        <v>0</v>
      </c>
      <c r="F1724">
        <v>31</v>
      </c>
      <c r="G1724">
        <v>1</v>
      </c>
      <c r="H1724">
        <v>10</v>
      </c>
      <c r="I1724">
        <v>21</v>
      </c>
      <c r="J1724">
        <v>11</v>
      </c>
      <c r="K1724">
        <f t="shared" si="28"/>
        <v>5</v>
      </c>
    </row>
    <row r="1725" spans="2:11" x14ac:dyDescent="0.35">
      <c r="B1725" t="s">
        <v>1721</v>
      </c>
      <c r="C1725">
        <v>14</v>
      </c>
      <c r="D1725">
        <v>1</v>
      </c>
      <c r="E1725">
        <v>0</v>
      </c>
      <c r="F1725">
        <v>0</v>
      </c>
      <c r="G1725">
        <v>0</v>
      </c>
      <c r="H1725">
        <v>0</v>
      </c>
      <c r="I1725">
        <v>7</v>
      </c>
      <c r="J1725">
        <v>7</v>
      </c>
      <c r="K1725">
        <f t="shared" si="28"/>
        <v>2</v>
      </c>
    </row>
    <row r="1726" spans="2:11" x14ac:dyDescent="0.35">
      <c r="B1726" t="s">
        <v>1722</v>
      </c>
      <c r="C1726">
        <v>22</v>
      </c>
      <c r="D1726">
        <v>0</v>
      </c>
      <c r="E1726">
        <v>0</v>
      </c>
      <c r="F1726">
        <v>0</v>
      </c>
      <c r="G1726">
        <v>0</v>
      </c>
      <c r="H1726">
        <v>3</v>
      </c>
      <c r="I1726">
        <v>7</v>
      </c>
      <c r="J1726">
        <v>13</v>
      </c>
      <c r="K1726">
        <f t="shared" si="28"/>
        <v>2</v>
      </c>
    </row>
    <row r="1727" spans="2:11" x14ac:dyDescent="0.35">
      <c r="B1727" t="s">
        <v>1723</v>
      </c>
      <c r="C1727">
        <v>18</v>
      </c>
      <c r="D1727">
        <v>3</v>
      </c>
      <c r="E1727">
        <v>1</v>
      </c>
      <c r="F1727">
        <v>0</v>
      </c>
      <c r="G1727">
        <v>0</v>
      </c>
      <c r="H1727">
        <v>0</v>
      </c>
      <c r="I1727">
        <v>3</v>
      </c>
      <c r="J1727">
        <v>12</v>
      </c>
      <c r="K1727">
        <f t="shared" si="28"/>
        <v>3</v>
      </c>
    </row>
    <row r="1728" spans="2:11" x14ac:dyDescent="0.35">
      <c r="B1728" t="s">
        <v>1724</v>
      </c>
      <c r="C1728">
        <v>23</v>
      </c>
      <c r="D1728">
        <v>0</v>
      </c>
      <c r="E1728">
        <v>0</v>
      </c>
      <c r="F1728">
        <v>0</v>
      </c>
      <c r="G1728">
        <v>7</v>
      </c>
      <c r="H1728">
        <v>3</v>
      </c>
      <c r="I1728">
        <v>5</v>
      </c>
      <c r="J1728">
        <v>9</v>
      </c>
      <c r="K1728">
        <f t="shared" si="28"/>
        <v>3</v>
      </c>
    </row>
    <row r="1729" spans="2:11" x14ac:dyDescent="0.35">
      <c r="B1729" t="s">
        <v>1725</v>
      </c>
      <c r="C1729">
        <v>13</v>
      </c>
      <c r="D1729">
        <v>0</v>
      </c>
      <c r="E1729">
        <v>0</v>
      </c>
      <c r="F1729">
        <v>0</v>
      </c>
      <c r="G1729">
        <v>0</v>
      </c>
      <c r="H1729">
        <v>2</v>
      </c>
      <c r="I1729">
        <v>1</v>
      </c>
      <c r="J1729">
        <v>11</v>
      </c>
      <c r="K1729">
        <f t="shared" si="28"/>
        <v>2</v>
      </c>
    </row>
    <row r="1730" spans="2:11" x14ac:dyDescent="0.35">
      <c r="B1730" t="s">
        <v>1726</v>
      </c>
      <c r="C1730">
        <v>27</v>
      </c>
      <c r="D1730">
        <v>3</v>
      </c>
      <c r="E1730">
        <v>0</v>
      </c>
      <c r="F1730">
        <v>0</v>
      </c>
      <c r="G1730">
        <v>5</v>
      </c>
      <c r="H1730">
        <v>7</v>
      </c>
      <c r="I1730">
        <v>9</v>
      </c>
      <c r="J1730">
        <v>4</v>
      </c>
      <c r="K1730">
        <f t="shared" si="28"/>
        <v>4</v>
      </c>
    </row>
    <row r="1731" spans="2:11" x14ac:dyDescent="0.35">
      <c r="B1731" t="s">
        <v>1727</v>
      </c>
      <c r="C1731">
        <v>11</v>
      </c>
      <c r="D1731">
        <v>2</v>
      </c>
      <c r="E1731">
        <v>0</v>
      </c>
      <c r="F1731">
        <v>0</v>
      </c>
      <c r="G1731">
        <v>0</v>
      </c>
      <c r="H1731">
        <v>0</v>
      </c>
      <c r="I1731">
        <v>4</v>
      </c>
      <c r="J1731">
        <v>6</v>
      </c>
      <c r="K1731">
        <f t="shared" si="28"/>
        <v>2</v>
      </c>
    </row>
    <row r="1732" spans="2:11" x14ac:dyDescent="0.35">
      <c r="B1732" t="s">
        <v>1728</v>
      </c>
      <c r="C1732">
        <v>18</v>
      </c>
      <c r="D1732">
        <v>0</v>
      </c>
      <c r="E1732">
        <v>0</v>
      </c>
      <c r="F1732">
        <v>0</v>
      </c>
      <c r="G1732">
        <v>0</v>
      </c>
      <c r="H1732">
        <v>1</v>
      </c>
      <c r="I1732">
        <v>2</v>
      </c>
      <c r="J1732">
        <v>16</v>
      </c>
      <c r="K1732">
        <f t="shared" si="28"/>
        <v>2</v>
      </c>
    </row>
    <row r="1733" spans="2:11" x14ac:dyDescent="0.35">
      <c r="B1733" t="s">
        <v>1729</v>
      </c>
      <c r="C1733">
        <v>20</v>
      </c>
      <c r="D1733">
        <v>0</v>
      </c>
      <c r="E1733">
        <v>0</v>
      </c>
      <c r="F1733">
        <v>0</v>
      </c>
      <c r="G1733">
        <v>2</v>
      </c>
      <c r="H1733">
        <v>1</v>
      </c>
      <c r="I1733">
        <v>11</v>
      </c>
      <c r="J1733">
        <v>7</v>
      </c>
      <c r="K1733">
        <f t="shared" si="28"/>
        <v>3</v>
      </c>
    </row>
    <row r="1734" spans="2:11" x14ac:dyDescent="0.35">
      <c r="B1734" t="s">
        <v>1730</v>
      </c>
      <c r="C1734">
        <v>23</v>
      </c>
      <c r="D1734">
        <v>0</v>
      </c>
      <c r="E1734">
        <v>0</v>
      </c>
      <c r="F1734">
        <v>0</v>
      </c>
      <c r="G1734">
        <v>0</v>
      </c>
      <c r="H1734">
        <v>1</v>
      </c>
      <c r="I1734">
        <v>11</v>
      </c>
      <c r="J1734">
        <v>12</v>
      </c>
      <c r="K1734">
        <f t="shared" si="28"/>
        <v>2</v>
      </c>
    </row>
    <row r="1735" spans="2:11" x14ac:dyDescent="0.35">
      <c r="B1735" t="s">
        <v>1731</v>
      </c>
      <c r="C1735">
        <v>80</v>
      </c>
      <c r="D1735">
        <v>5</v>
      </c>
      <c r="E1735">
        <v>0</v>
      </c>
      <c r="F1735">
        <v>0</v>
      </c>
      <c r="G1735">
        <v>13</v>
      </c>
      <c r="H1735">
        <v>14</v>
      </c>
      <c r="I1735">
        <v>34</v>
      </c>
      <c r="J1735">
        <v>15</v>
      </c>
      <c r="K1735">
        <f t="shared" si="28"/>
        <v>4</v>
      </c>
    </row>
    <row r="1736" spans="2:11" x14ac:dyDescent="0.35">
      <c r="B1736" t="s">
        <v>1732</v>
      </c>
      <c r="C1736">
        <v>26</v>
      </c>
      <c r="D1736">
        <v>1</v>
      </c>
      <c r="E1736">
        <v>1</v>
      </c>
      <c r="F1736">
        <v>1</v>
      </c>
      <c r="G1736">
        <v>0</v>
      </c>
      <c r="H1736">
        <v>0</v>
      </c>
      <c r="I1736">
        <v>4</v>
      </c>
      <c r="J1736">
        <v>20</v>
      </c>
      <c r="K1736">
        <f t="shared" si="28"/>
        <v>4</v>
      </c>
    </row>
    <row r="1737" spans="2:11" x14ac:dyDescent="0.35">
      <c r="B1737" t="s">
        <v>1733</v>
      </c>
      <c r="C1737">
        <v>16</v>
      </c>
      <c r="D1737">
        <v>0</v>
      </c>
      <c r="E1737">
        <v>0</v>
      </c>
      <c r="F1737">
        <v>1</v>
      </c>
      <c r="G1737">
        <v>0</v>
      </c>
      <c r="H1737">
        <v>2</v>
      </c>
      <c r="I1737">
        <v>1</v>
      </c>
      <c r="J1737">
        <v>13</v>
      </c>
      <c r="K1737">
        <f t="shared" si="28"/>
        <v>3</v>
      </c>
    </row>
    <row r="1738" spans="2:11" x14ac:dyDescent="0.35">
      <c r="B1738" t="s">
        <v>1734</v>
      </c>
      <c r="C1738">
        <v>54</v>
      </c>
      <c r="D1738">
        <v>3</v>
      </c>
      <c r="E1738">
        <v>0</v>
      </c>
      <c r="F1738">
        <v>1</v>
      </c>
      <c r="G1738">
        <v>11</v>
      </c>
      <c r="H1738">
        <v>9</v>
      </c>
      <c r="I1738">
        <v>9</v>
      </c>
      <c r="J1738">
        <v>22</v>
      </c>
      <c r="K1738">
        <f t="shared" si="28"/>
        <v>5</v>
      </c>
    </row>
    <row r="1739" spans="2:11" x14ac:dyDescent="0.35">
      <c r="B1739" t="s">
        <v>1735</v>
      </c>
      <c r="C1739">
        <v>14</v>
      </c>
      <c r="D1739">
        <v>0</v>
      </c>
      <c r="E1739">
        <v>0</v>
      </c>
      <c r="F1739">
        <v>0</v>
      </c>
      <c r="G1739">
        <v>1</v>
      </c>
      <c r="H1739">
        <v>2</v>
      </c>
      <c r="I1739">
        <v>8</v>
      </c>
      <c r="J1739">
        <v>4</v>
      </c>
      <c r="K1739">
        <f t="shared" si="28"/>
        <v>3</v>
      </c>
    </row>
    <row r="1740" spans="2:11" x14ac:dyDescent="0.35">
      <c r="B1740" t="s">
        <v>1736</v>
      </c>
      <c r="C1740">
        <v>7</v>
      </c>
      <c r="D1740">
        <v>1</v>
      </c>
      <c r="E1740">
        <v>1</v>
      </c>
      <c r="F1740">
        <v>0</v>
      </c>
      <c r="G1740">
        <v>3</v>
      </c>
      <c r="H1740">
        <v>0</v>
      </c>
      <c r="I1740">
        <v>1</v>
      </c>
      <c r="J1740">
        <v>2</v>
      </c>
      <c r="K1740">
        <f t="shared" ref="K1740:K1803" si="29">COUNTIF(D1740:I1740, "&gt;0")</f>
        <v>4</v>
      </c>
    </row>
    <row r="1741" spans="2:11" x14ac:dyDescent="0.35">
      <c r="B1741" t="s">
        <v>1737</v>
      </c>
      <c r="C1741">
        <v>16</v>
      </c>
      <c r="D1741">
        <v>0</v>
      </c>
      <c r="E1741">
        <v>0</v>
      </c>
      <c r="F1741">
        <v>2</v>
      </c>
      <c r="G1741">
        <v>1</v>
      </c>
      <c r="H1741">
        <v>0</v>
      </c>
      <c r="I1741">
        <v>6</v>
      </c>
      <c r="J1741">
        <v>8</v>
      </c>
      <c r="K1741">
        <f t="shared" si="29"/>
        <v>3</v>
      </c>
    </row>
    <row r="1742" spans="2:11" x14ac:dyDescent="0.35">
      <c r="B1742" t="s">
        <v>1738</v>
      </c>
      <c r="C1742">
        <v>87</v>
      </c>
      <c r="D1742">
        <v>1</v>
      </c>
      <c r="E1742">
        <v>0</v>
      </c>
      <c r="F1742">
        <v>0</v>
      </c>
      <c r="G1742">
        <v>5</v>
      </c>
      <c r="H1742">
        <v>13</v>
      </c>
      <c r="I1742">
        <v>20</v>
      </c>
      <c r="J1742">
        <v>49</v>
      </c>
      <c r="K1742">
        <f t="shared" si="29"/>
        <v>4</v>
      </c>
    </row>
    <row r="1743" spans="2:11" x14ac:dyDescent="0.35">
      <c r="B1743" t="s">
        <v>1739</v>
      </c>
      <c r="C1743">
        <v>67</v>
      </c>
      <c r="D1743">
        <v>2</v>
      </c>
      <c r="E1743">
        <v>0</v>
      </c>
      <c r="F1743">
        <v>7</v>
      </c>
      <c r="G1743">
        <v>2</v>
      </c>
      <c r="H1743">
        <v>4</v>
      </c>
      <c r="I1743">
        <v>10</v>
      </c>
      <c r="J1743">
        <v>43</v>
      </c>
      <c r="K1743">
        <f t="shared" si="29"/>
        <v>5</v>
      </c>
    </row>
    <row r="1744" spans="2:11" x14ac:dyDescent="0.35">
      <c r="B1744" t="s">
        <v>1740</v>
      </c>
      <c r="C1744">
        <v>19</v>
      </c>
      <c r="D1744">
        <v>1</v>
      </c>
      <c r="E1744">
        <v>1</v>
      </c>
      <c r="F1744">
        <v>0</v>
      </c>
      <c r="G1744">
        <v>0</v>
      </c>
      <c r="H1744">
        <v>0</v>
      </c>
      <c r="I1744">
        <v>2</v>
      </c>
      <c r="J1744">
        <v>16</v>
      </c>
      <c r="K1744">
        <f t="shared" si="29"/>
        <v>3</v>
      </c>
    </row>
    <row r="1745" spans="2:11" x14ac:dyDescent="0.35">
      <c r="B1745" t="s">
        <v>1741</v>
      </c>
      <c r="C1745">
        <v>19</v>
      </c>
      <c r="D1745">
        <v>1</v>
      </c>
      <c r="E1745">
        <v>1</v>
      </c>
      <c r="F1745">
        <v>0</v>
      </c>
      <c r="G1745">
        <v>0</v>
      </c>
      <c r="H1745">
        <v>0</v>
      </c>
      <c r="I1745">
        <v>2</v>
      </c>
      <c r="J1745">
        <v>16</v>
      </c>
      <c r="K1745">
        <f t="shared" si="29"/>
        <v>3</v>
      </c>
    </row>
    <row r="1746" spans="2:11" x14ac:dyDescent="0.35">
      <c r="B1746" t="s">
        <v>1742</v>
      </c>
      <c r="C1746">
        <v>19</v>
      </c>
      <c r="D1746">
        <v>1</v>
      </c>
      <c r="E1746">
        <v>1</v>
      </c>
      <c r="F1746">
        <v>0</v>
      </c>
      <c r="G1746">
        <v>0</v>
      </c>
      <c r="H1746">
        <v>0</v>
      </c>
      <c r="I1746">
        <v>2</v>
      </c>
      <c r="J1746">
        <v>16</v>
      </c>
      <c r="K1746">
        <f t="shared" si="29"/>
        <v>3</v>
      </c>
    </row>
    <row r="1747" spans="2:11" x14ac:dyDescent="0.35">
      <c r="B1747" t="s">
        <v>1743</v>
      </c>
      <c r="C1747">
        <v>30</v>
      </c>
      <c r="D1747">
        <v>1</v>
      </c>
      <c r="E1747">
        <v>1</v>
      </c>
      <c r="F1747">
        <v>0</v>
      </c>
      <c r="G1747">
        <v>1</v>
      </c>
      <c r="H1747">
        <v>3</v>
      </c>
      <c r="I1747">
        <v>5</v>
      </c>
      <c r="J1747">
        <v>20</v>
      </c>
      <c r="K1747">
        <f t="shared" si="29"/>
        <v>5</v>
      </c>
    </row>
    <row r="1748" spans="2:11" x14ac:dyDescent="0.35">
      <c r="B1748" t="s">
        <v>1744</v>
      </c>
      <c r="C1748">
        <v>23</v>
      </c>
      <c r="D1748">
        <v>3</v>
      </c>
      <c r="E1748">
        <v>0</v>
      </c>
      <c r="F1748">
        <v>2</v>
      </c>
      <c r="G1748">
        <v>1</v>
      </c>
      <c r="H1748">
        <v>0</v>
      </c>
      <c r="I1748">
        <v>0</v>
      </c>
      <c r="J1748">
        <v>18</v>
      </c>
      <c r="K1748">
        <f t="shared" si="29"/>
        <v>3</v>
      </c>
    </row>
    <row r="1749" spans="2:11" x14ac:dyDescent="0.35">
      <c r="B1749" t="s">
        <v>1745</v>
      </c>
      <c r="C1749">
        <v>20</v>
      </c>
      <c r="D1749">
        <v>3</v>
      </c>
      <c r="E1749">
        <v>0</v>
      </c>
      <c r="F1749">
        <v>0</v>
      </c>
      <c r="G1749">
        <v>3</v>
      </c>
      <c r="H1749">
        <v>0</v>
      </c>
      <c r="I1749">
        <v>6</v>
      </c>
      <c r="J1749">
        <v>9</v>
      </c>
      <c r="K1749">
        <f t="shared" si="29"/>
        <v>3</v>
      </c>
    </row>
    <row r="1750" spans="2:11" x14ac:dyDescent="0.35">
      <c r="B1750" t="s">
        <v>1746</v>
      </c>
      <c r="C1750">
        <v>33</v>
      </c>
      <c r="D1750">
        <v>2</v>
      </c>
      <c r="E1750">
        <v>0</v>
      </c>
      <c r="F1750">
        <v>0</v>
      </c>
      <c r="G1750">
        <v>3</v>
      </c>
      <c r="H1750">
        <v>2</v>
      </c>
      <c r="I1750">
        <v>9</v>
      </c>
      <c r="J1750">
        <v>18</v>
      </c>
      <c r="K1750">
        <f t="shared" si="29"/>
        <v>4</v>
      </c>
    </row>
    <row r="1751" spans="2:11" x14ac:dyDescent="0.35">
      <c r="B1751" t="s">
        <v>1747</v>
      </c>
      <c r="C1751">
        <v>57</v>
      </c>
      <c r="D1751">
        <v>5</v>
      </c>
      <c r="E1751">
        <v>2</v>
      </c>
      <c r="F1751">
        <v>1</v>
      </c>
      <c r="G1751">
        <v>1</v>
      </c>
      <c r="H1751">
        <v>6</v>
      </c>
      <c r="I1751">
        <v>27</v>
      </c>
      <c r="J1751">
        <v>16</v>
      </c>
      <c r="K1751">
        <f t="shared" si="29"/>
        <v>6</v>
      </c>
    </row>
    <row r="1752" spans="2:11" x14ac:dyDescent="0.35">
      <c r="B1752" t="s">
        <v>1748</v>
      </c>
      <c r="C1752">
        <v>23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13</v>
      </c>
      <c r="J1752">
        <v>7</v>
      </c>
      <c r="K1752">
        <f t="shared" si="29"/>
        <v>3</v>
      </c>
    </row>
    <row r="1753" spans="2:11" x14ac:dyDescent="0.35">
      <c r="B1753" t="s">
        <v>1749</v>
      </c>
      <c r="C1753">
        <v>43</v>
      </c>
      <c r="D1753">
        <v>2</v>
      </c>
      <c r="E1753">
        <v>2</v>
      </c>
      <c r="F1753">
        <v>0</v>
      </c>
      <c r="G1753">
        <v>0</v>
      </c>
      <c r="H1753">
        <v>3</v>
      </c>
      <c r="I1753">
        <v>1</v>
      </c>
      <c r="J1753">
        <v>36</v>
      </c>
      <c r="K1753">
        <f t="shared" si="29"/>
        <v>4</v>
      </c>
    </row>
    <row r="1754" spans="2:11" x14ac:dyDescent="0.35">
      <c r="B1754" t="s">
        <v>1750</v>
      </c>
      <c r="C1754">
        <v>63</v>
      </c>
      <c r="D1754">
        <v>0</v>
      </c>
      <c r="E1754">
        <v>0</v>
      </c>
      <c r="F1754">
        <v>2</v>
      </c>
      <c r="G1754">
        <v>4</v>
      </c>
      <c r="H1754">
        <v>12</v>
      </c>
      <c r="I1754">
        <v>5</v>
      </c>
      <c r="J1754">
        <v>41</v>
      </c>
      <c r="K1754">
        <f t="shared" si="29"/>
        <v>4</v>
      </c>
    </row>
    <row r="1755" spans="2:11" x14ac:dyDescent="0.35">
      <c r="B1755" t="s">
        <v>1751</v>
      </c>
      <c r="C1755">
        <v>37</v>
      </c>
      <c r="D1755">
        <v>7</v>
      </c>
      <c r="E1755">
        <v>0</v>
      </c>
      <c r="F1755">
        <v>0</v>
      </c>
      <c r="G1755">
        <v>0</v>
      </c>
      <c r="H1755">
        <v>4</v>
      </c>
      <c r="I1755">
        <v>11</v>
      </c>
      <c r="J1755">
        <v>16</v>
      </c>
      <c r="K1755">
        <f t="shared" si="29"/>
        <v>3</v>
      </c>
    </row>
    <row r="1756" spans="2:11" x14ac:dyDescent="0.35">
      <c r="B1756" t="s">
        <v>1752</v>
      </c>
      <c r="C1756">
        <v>20</v>
      </c>
      <c r="D1756">
        <v>3</v>
      </c>
      <c r="E1756">
        <v>0</v>
      </c>
      <c r="F1756">
        <v>1</v>
      </c>
      <c r="G1756">
        <v>0</v>
      </c>
      <c r="H1756">
        <v>1</v>
      </c>
      <c r="I1756">
        <v>4</v>
      </c>
      <c r="J1756">
        <v>12</v>
      </c>
      <c r="K1756">
        <f t="shared" si="29"/>
        <v>4</v>
      </c>
    </row>
    <row r="1757" spans="2:11" x14ac:dyDescent="0.35">
      <c r="B1757" t="s">
        <v>1753</v>
      </c>
      <c r="C1757">
        <v>44</v>
      </c>
      <c r="D1757">
        <v>2</v>
      </c>
      <c r="E1757">
        <v>0</v>
      </c>
      <c r="F1757">
        <v>0</v>
      </c>
      <c r="G1757">
        <v>8</v>
      </c>
      <c r="H1757">
        <v>5</v>
      </c>
      <c r="I1757">
        <v>18</v>
      </c>
      <c r="J1757">
        <v>12</v>
      </c>
      <c r="K1757">
        <f t="shared" si="29"/>
        <v>4</v>
      </c>
    </row>
    <row r="1758" spans="2:11" x14ac:dyDescent="0.35">
      <c r="B1758" t="s">
        <v>1754</v>
      </c>
      <c r="C1758">
        <v>51</v>
      </c>
      <c r="D1758">
        <v>7</v>
      </c>
      <c r="E1758">
        <v>1</v>
      </c>
      <c r="F1758">
        <v>1</v>
      </c>
      <c r="G1758">
        <v>4</v>
      </c>
      <c r="H1758">
        <v>6</v>
      </c>
      <c r="I1758">
        <v>22</v>
      </c>
      <c r="J1758">
        <v>11</v>
      </c>
      <c r="K1758">
        <f t="shared" si="29"/>
        <v>6</v>
      </c>
    </row>
    <row r="1759" spans="2:11" x14ac:dyDescent="0.35">
      <c r="B1759" t="s">
        <v>1755</v>
      </c>
      <c r="C1759">
        <v>56</v>
      </c>
      <c r="D1759">
        <v>4</v>
      </c>
      <c r="E1759">
        <v>0</v>
      </c>
      <c r="F1759">
        <v>0</v>
      </c>
      <c r="G1759">
        <v>0</v>
      </c>
      <c r="H1759">
        <v>2</v>
      </c>
      <c r="I1759">
        <v>28</v>
      </c>
      <c r="J1759">
        <v>23</v>
      </c>
      <c r="K1759">
        <f t="shared" si="29"/>
        <v>3</v>
      </c>
    </row>
    <row r="1760" spans="2:11" x14ac:dyDescent="0.35">
      <c r="B1760" t="s">
        <v>1756</v>
      </c>
      <c r="C1760">
        <v>45</v>
      </c>
      <c r="D1760">
        <v>8</v>
      </c>
      <c r="E1760">
        <v>0</v>
      </c>
      <c r="F1760">
        <v>0</v>
      </c>
      <c r="G1760">
        <v>3</v>
      </c>
      <c r="H1760">
        <v>1</v>
      </c>
      <c r="I1760">
        <v>24</v>
      </c>
      <c r="J1760">
        <v>10</v>
      </c>
      <c r="K1760">
        <f t="shared" si="29"/>
        <v>4</v>
      </c>
    </row>
    <row r="1761" spans="2:11" x14ac:dyDescent="0.35">
      <c r="B1761" t="s">
        <v>1757</v>
      </c>
      <c r="C1761">
        <v>46</v>
      </c>
      <c r="D1761">
        <v>8</v>
      </c>
      <c r="E1761">
        <v>0</v>
      </c>
      <c r="F1761">
        <v>0</v>
      </c>
      <c r="G1761">
        <v>3</v>
      </c>
      <c r="H1761">
        <v>1</v>
      </c>
      <c r="I1761">
        <v>25</v>
      </c>
      <c r="J1761">
        <v>10</v>
      </c>
      <c r="K1761">
        <f t="shared" si="29"/>
        <v>4</v>
      </c>
    </row>
    <row r="1762" spans="2:11" x14ac:dyDescent="0.35">
      <c r="B1762" t="s">
        <v>1758</v>
      </c>
      <c r="C1762">
        <v>3</v>
      </c>
      <c r="D1762">
        <v>1</v>
      </c>
      <c r="E1762">
        <v>0</v>
      </c>
      <c r="F1762">
        <v>0</v>
      </c>
      <c r="G1762">
        <v>0</v>
      </c>
      <c r="H1762">
        <v>1</v>
      </c>
      <c r="I1762">
        <v>1</v>
      </c>
      <c r="J1762">
        <v>1</v>
      </c>
      <c r="K1762">
        <f t="shared" si="29"/>
        <v>3</v>
      </c>
    </row>
    <row r="1763" spans="2:11" x14ac:dyDescent="0.35">
      <c r="B1763" t="s">
        <v>1759</v>
      </c>
      <c r="C1763">
        <v>92</v>
      </c>
      <c r="D1763">
        <v>5</v>
      </c>
      <c r="E1763">
        <v>0</v>
      </c>
      <c r="F1763">
        <v>0</v>
      </c>
      <c r="G1763">
        <v>26</v>
      </c>
      <c r="H1763">
        <v>12</v>
      </c>
      <c r="I1763">
        <v>21</v>
      </c>
      <c r="J1763">
        <v>29</v>
      </c>
      <c r="K1763">
        <f t="shared" si="29"/>
        <v>4</v>
      </c>
    </row>
    <row r="1764" spans="2:11" x14ac:dyDescent="0.35">
      <c r="B1764" t="s">
        <v>1760</v>
      </c>
      <c r="C1764">
        <v>71</v>
      </c>
      <c r="D1764">
        <v>4</v>
      </c>
      <c r="E1764">
        <v>0</v>
      </c>
      <c r="F1764">
        <v>0</v>
      </c>
      <c r="G1764">
        <v>4</v>
      </c>
      <c r="H1764">
        <v>4</v>
      </c>
      <c r="I1764">
        <v>17</v>
      </c>
      <c r="J1764">
        <v>43</v>
      </c>
      <c r="K1764">
        <f t="shared" si="29"/>
        <v>4</v>
      </c>
    </row>
    <row r="1765" spans="2:11" x14ac:dyDescent="0.35">
      <c r="B1765" t="s">
        <v>1761</v>
      </c>
      <c r="C1765">
        <v>15</v>
      </c>
      <c r="D1765">
        <v>5</v>
      </c>
      <c r="E1765">
        <v>0</v>
      </c>
      <c r="F1765">
        <v>0</v>
      </c>
      <c r="G1765">
        <v>4</v>
      </c>
      <c r="H1765">
        <v>1</v>
      </c>
      <c r="I1765">
        <v>4</v>
      </c>
      <c r="J1765">
        <v>2</v>
      </c>
      <c r="K1765">
        <f t="shared" si="29"/>
        <v>4</v>
      </c>
    </row>
    <row r="1766" spans="2:11" x14ac:dyDescent="0.35">
      <c r="B1766" t="s">
        <v>1762</v>
      </c>
      <c r="C1766">
        <v>35</v>
      </c>
      <c r="D1766">
        <v>1</v>
      </c>
      <c r="E1766">
        <v>0</v>
      </c>
      <c r="F1766">
        <v>0</v>
      </c>
      <c r="G1766">
        <v>1</v>
      </c>
      <c r="H1766">
        <v>8</v>
      </c>
      <c r="I1766">
        <v>2</v>
      </c>
      <c r="J1766">
        <v>24</v>
      </c>
      <c r="K1766">
        <f t="shared" si="29"/>
        <v>4</v>
      </c>
    </row>
    <row r="1767" spans="2:11" x14ac:dyDescent="0.35">
      <c r="B1767" t="s">
        <v>1763</v>
      </c>
      <c r="C1767">
        <v>31</v>
      </c>
      <c r="D1767">
        <v>3</v>
      </c>
      <c r="E1767">
        <v>0</v>
      </c>
      <c r="F1767">
        <v>0</v>
      </c>
      <c r="G1767">
        <v>0</v>
      </c>
      <c r="H1767">
        <v>9</v>
      </c>
      <c r="I1767">
        <v>9</v>
      </c>
      <c r="J1767">
        <v>11</v>
      </c>
      <c r="K1767">
        <f t="shared" si="29"/>
        <v>3</v>
      </c>
    </row>
    <row r="1768" spans="2:11" x14ac:dyDescent="0.35">
      <c r="B1768" t="s">
        <v>1764</v>
      </c>
      <c r="C1768">
        <v>15</v>
      </c>
      <c r="D1768">
        <v>3</v>
      </c>
      <c r="E1768">
        <v>0</v>
      </c>
      <c r="F1768">
        <v>0</v>
      </c>
      <c r="G1768">
        <v>0</v>
      </c>
      <c r="H1768">
        <v>0</v>
      </c>
      <c r="I1768">
        <v>4</v>
      </c>
      <c r="J1768">
        <v>9</v>
      </c>
      <c r="K1768">
        <f t="shared" si="29"/>
        <v>2</v>
      </c>
    </row>
    <row r="1769" spans="2:11" x14ac:dyDescent="0.35">
      <c r="B1769" t="s">
        <v>1765</v>
      </c>
      <c r="C1769">
        <v>58</v>
      </c>
      <c r="D1769">
        <v>6</v>
      </c>
      <c r="E1769">
        <v>0</v>
      </c>
      <c r="F1769">
        <v>0</v>
      </c>
      <c r="G1769">
        <v>5</v>
      </c>
      <c r="H1769">
        <v>3</v>
      </c>
      <c r="I1769">
        <v>25</v>
      </c>
      <c r="J1769">
        <v>20</v>
      </c>
      <c r="K1769">
        <f t="shared" si="29"/>
        <v>4</v>
      </c>
    </row>
    <row r="1770" spans="2:11" x14ac:dyDescent="0.35">
      <c r="B1770" t="s">
        <v>1766</v>
      </c>
      <c r="C1770">
        <v>21</v>
      </c>
      <c r="D1770">
        <v>3</v>
      </c>
      <c r="E1770">
        <v>2</v>
      </c>
      <c r="F1770">
        <v>0</v>
      </c>
      <c r="G1770">
        <v>1</v>
      </c>
      <c r="H1770">
        <v>4</v>
      </c>
      <c r="I1770">
        <v>4</v>
      </c>
      <c r="J1770">
        <v>8</v>
      </c>
      <c r="K1770">
        <f t="shared" si="29"/>
        <v>5</v>
      </c>
    </row>
    <row r="1771" spans="2:11" x14ac:dyDescent="0.35">
      <c r="B1771" t="s">
        <v>1767</v>
      </c>
      <c r="C1771">
        <v>86</v>
      </c>
      <c r="D1771">
        <v>0</v>
      </c>
      <c r="E1771">
        <v>1</v>
      </c>
      <c r="F1771">
        <v>0</v>
      </c>
      <c r="G1771">
        <v>12</v>
      </c>
      <c r="H1771">
        <v>11</v>
      </c>
      <c r="I1771">
        <v>7</v>
      </c>
      <c r="J1771">
        <v>56</v>
      </c>
      <c r="K1771">
        <f t="shared" si="29"/>
        <v>4</v>
      </c>
    </row>
    <row r="1772" spans="2:11" x14ac:dyDescent="0.35">
      <c r="B1772" t="s">
        <v>1768</v>
      </c>
      <c r="C1772">
        <v>194</v>
      </c>
      <c r="D1772">
        <v>3</v>
      </c>
      <c r="E1772">
        <v>1</v>
      </c>
      <c r="F1772">
        <v>0</v>
      </c>
      <c r="G1772">
        <v>9</v>
      </c>
      <c r="H1772">
        <v>21</v>
      </c>
      <c r="I1772">
        <v>67</v>
      </c>
      <c r="J1772">
        <v>94</v>
      </c>
      <c r="K1772">
        <f t="shared" si="29"/>
        <v>5</v>
      </c>
    </row>
    <row r="1773" spans="2:11" x14ac:dyDescent="0.35">
      <c r="B1773" t="s">
        <v>1769</v>
      </c>
      <c r="C1773">
        <v>24</v>
      </c>
      <c r="D1773">
        <v>0</v>
      </c>
      <c r="E1773">
        <v>0</v>
      </c>
      <c r="F1773">
        <v>0</v>
      </c>
      <c r="G1773">
        <v>10</v>
      </c>
      <c r="H1773">
        <v>5</v>
      </c>
      <c r="I1773">
        <v>3</v>
      </c>
      <c r="J1773">
        <v>7</v>
      </c>
      <c r="K1773">
        <f t="shared" si="29"/>
        <v>3</v>
      </c>
    </row>
    <row r="1774" spans="2:11" x14ac:dyDescent="0.35">
      <c r="B1774" t="s">
        <v>1770</v>
      </c>
      <c r="C1774">
        <v>32</v>
      </c>
      <c r="D1774">
        <v>2</v>
      </c>
      <c r="E1774">
        <v>0</v>
      </c>
      <c r="F1774">
        <v>0</v>
      </c>
      <c r="G1774">
        <v>5</v>
      </c>
      <c r="H1774">
        <v>1</v>
      </c>
      <c r="I1774">
        <v>17</v>
      </c>
      <c r="J1774">
        <v>8</v>
      </c>
      <c r="K1774">
        <f t="shared" si="29"/>
        <v>4</v>
      </c>
    </row>
    <row r="1775" spans="2:11" x14ac:dyDescent="0.35">
      <c r="B1775" t="s">
        <v>1771</v>
      </c>
      <c r="C1775">
        <v>32</v>
      </c>
      <c r="D1775">
        <v>2</v>
      </c>
      <c r="E1775">
        <v>0</v>
      </c>
      <c r="F1775">
        <v>0</v>
      </c>
      <c r="G1775">
        <v>5</v>
      </c>
      <c r="H1775">
        <v>6</v>
      </c>
      <c r="I1775">
        <v>8</v>
      </c>
      <c r="J1775">
        <v>12</v>
      </c>
      <c r="K1775">
        <f t="shared" si="29"/>
        <v>4</v>
      </c>
    </row>
    <row r="1776" spans="2:11" x14ac:dyDescent="0.35">
      <c r="B1776" t="s">
        <v>1772</v>
      </c>
      <c r="C1776">
        <v>41</v>
      </c>
      <c r="D1776">
        <v>5</v>
      </c>
      <c r="E1776">
        <v>0</v>
      </c>
      <c r="F1776">
        <v>0</v>
      </c>
      <c r="G1776">
        <v>1</v>
      </c>
      <c r="H1776">
        <v>2</v>
      </c>
      <c r="I1776">
        <v>7</v>
      </c>
      <c r="J1776">
        <v>27</v>
      </c>
      <c r="K1776">
        <f t="shared" si="29"/>
        <v>4</v>
      </c>
    </row>
    <row r="1777" spans="2:11" x14ac:dyDescent="0.35">
      <c r="B1777" t="s">
        <v>1773</v>
      </c>
      <c r="C1777">
        <v>17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1</v>
      </c>
      <c r="J1777">
        <v>17</v>
      </c>
      <c r="K1777">
        <f t="shared" si="29"/>
        <v>1</v>
      </c>
    </row>
    <row r="1778" spans="2:11" x14ac:dyDescent="0.35">
      <c r="B1778" t="s">
        <v>1774</v>
      </c>
      <c r="C1778">
        <v>5</v>
      </c>
      <c r="D1778">
        <v>0</v>
      </c>
      <c r="E1778">
        <v>0</v>
      </c>
      <c r="F1778">
        <v>1</v>
      </c>
      <c r="G1778">
        <v>0</v>
      </c>
      <c r="H1778">
        <v>0</v>
      </c>
      <c r="I1778">
        <v>1</v>
      </c>
      <c r="J1778">
        <v>4</v>
      </c>
      <c r="K1778">
        <f t="shared" si="29"/>
        <v>2</v>
      </c>
    </row>
    <row r="1779" spans="2:11" x14ac:dyDescent="0.35">
      <c r="B1779" t="s">
        <v>1775</v>
      </c>
      <c r="C1779">
        <v>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1</v>
      </c>
      <c r="J1779">
        <v>5</v>
      </c>
      <c r="K1779">
        <f t="shared" si="29"/>
        <v>1</v>
      </c>
    </row>
    <row r="1780" spans="2:11" x14ac:dyDescent="0.35">
      <c r="B1780" t="s">
        <v>1776</v>
      </c>
      <c r="C1780">
        <v>35</v>
      </c>
      <c r="D1780">
        <v>1</v>
      </c>
      <c r="E1780">
        <v>0</v>
      </c>
      <c r="F1780">
        <v>0</v>
      </c>
      <c r="G1780">
        <v>0</v>
      </c>
      <c r="H1780">
        <v>0</v>
      </c>
      <c r="I1780">
        <v>30</v>
      </c>
      <c r="J1780">
        <v>5</v>
      </c>
      <c r="K1780">
        <f t="shared" si="29"/>
        <v>2</v>
      </c>
    </row>
    <row r="1781" spans="2:11" x14ac:dyDescent="0.35">
      <c r="B1781" t="s">
        <v>1777</v>
      </c>
      <c r="C1781">
        <v>39</v>
      </c>
      <c r="D1781">
        <v>1</v>
      </c>
      <c r="E1781">
        <v>1</v>
      </c>
      <c r="F1781">
        <v>2</v>
      </c>
      <c r="G1781">
        <v>0</v>
      </c>
      <c r="H1781">
        <v>13</v>
      </c>
      <c r="I1781">
        <v>10</v>
      </c>
      <c r="J1781">
        <v>13</v>
      </c>
      <c r="K1781">
        <f t="shared" si="29"/>
        <v>5</v>
      </c>
    </row>
    <row r="1782" spans="2:11" x14ac:dyDescent="0.35">
      <c r="B1782" t="s">
        <v>1778</v>
      </c>
      <c r="C1782">
        <v>20</v>
      </c>
      <c r="D1782">
        <v>4</v>
      </c>
      <c r="E1782">
        <v>0</v>
      </c>
      <c r="F1782">
        <v>0</v>
      </c>
      <c r="G1782">
        <v>0</v>
      </c>
      <c r="H1782">
        <v>1</v>
      </c>
      <c r="I1782">
        <v>6</v>
      </c>
      <c r="J1782">
        <v>10</v>
      </c>
      <c r="K1782">
        <f t="shared" si="29"/>
        <v>3</v>
      </c>
    </row>
    <row r="1783" spans="2:11" x14ac:dyDescent="0.35">
      <c r="B1783" t="s">
        <v>1779</v>
      </c>
      <c r="C1783">
        <v>33</v>
      </c>
      <c r="D1783">
        <v>1</v>
      </c>
      <c r="E1783">
        <v>0</v>
      </c>
      <c r="F1783">
        <v>0</v>
      </c>
      <c r="G1783">
        <v>1</v>
      </c>
      <c r="H1783">
        <v>0</v>
      </c>
      <c r="I1783">
        <v>12</v>
      </c>
      <c r="J1783">
        <v>20</v>
      </c>
      <c r="K1783">
        <f t="shared" si="29"/>
        <v>3</v>
      </c>
    </row>
    <row r="1784" spans="2:11" x14ac:dyDescent="0.35">
      <c r="B1784" t="s">
        <v>1780</v>
      </c>
      <c r="C1784">
        <v>23</v>
      </c>
      <c r="D1784">
        <v>1</v>
      </c>
      <c r="E1784">
        <v>0</v>
      </c>
      <c r="F1784">
        <v>0</v>
      </c>
      <c r="G1784">
        <v>0</v>
      </c>
      <c r="H1784">
        <v>0</v>
      </c>
      <c r="I1784">
        <v>6</v>
      </c>
      <c r="J1784">
        <v>17</v>
      </c>
      <c r="K1784">
        <f t="shared" si="29"/>
        <v>2</v>
      </c>
    </row>
    <row r="1785" spans="2:11" x14ac:dyDescent="0.35">
      <c r="B1785" t="s">
        <v>1781</v>
      </c>
      <c r="C1785">
        <v>16</v>
      </c>
      <c r="D1785">
        <v>0</v>
      </c>
      <c r="E1785">
        <v>0</v>
      </c>
      <c r="F1785">
        <v>0</v>
      </c>
      <c r="G1785">
        <v>4</v>
      </c>
      <c r="H1785">
        <v>0</v>
      </c>
      <c r="I1785">
        <v>4</v>
      </c>
      <c r="J1785">
        <v>9</v>
      </c>
      <c r="K1785">
        <f t="shared" si="29"/>
        <v>2</v>
      </c>
    </row>
    <row r="1786" spans="2:11" x14ac:dyDescent="0.35">
      <c r="B1786" t="s">
        <v>1782</v>
      </c>
      <c r="C1786">
        <v>3</v>
      </c>
      <c r="D1786">
        <v>0</v>
      </c>
      <c r="E1786">
        <v>0</v>
      </c>
      <c r="F1786">
        <v>0</v>
      </c>
      <c r="G1786">
        <v>0</v>
      </c>
      <c r="H1786">
        <v>3</v>
      </c>
      <c r="I1786">
        <v>0</v>
      </c>
      <c r="J1786">
        <v>1</v>
      </c>
      <c r="K1786">
        <f t="shared" si="29"/>
        <v>1</v>
      </c>
    </row>
    <row r="1787" spans="2:11" x14ac:dyDescent="0.35">
      <c r="B1787" t="s">
        <v>1783</v>
      </c>
      <c r="C1787">
        <v>21</v>
      </c>
      <c r="D1787">
        <v>2</v>
      </c>
      <c r="E1787">
        <v>0</v>
      </c>
      <c r="F1787">
        <v>0</v>
      </c>
      <c r="G1787">
        <v>2</v>
      </c>
      <c r="H1787">
        <v>3</v>
      </c>
      <c r="I1787">
        <v>6</v>
      </c>
      <c r="J1787">
        <v>9</v>
      </c>
      <c r="K1787">
        <f t="shared" si="29"/>
        <v>4</v>
      </c>
    </row>
    <row r="1788" spans="2:11" x14ac:dyDescent="0.35">
      <c r="B1788" t="s">
        <v>1784</v>
      </c>
      <c r="C1788">
        <v>34</v>
      </c>
      <c r="D1788">
        <v>0</v>
      </c>
      <c r="E1788">
        <v>1</v>
      </c>
      <c r="F1788">
        <v>0</v>
      </c>
      <c r="G1788">
        <v>1</v>
      </c>
      <c r="H1788">
        <v>3</v>
      </c>
      <c r="I1788">
        <v>5</v>
      </c>
      <c r="J1788">
        <v>25</v>
      </c>
      <c r="K1788">
        <f t="shared" si="29"/>
        <v>4</v>
      </c>
    </row>
    <row r="1789" spans="2:11" x14ac:dyDescent="0.35">
      <c r="B1789" t="s">
        <v>1785</v>
      </c>
      <c r="C1789">
        <v>27</v>
      </c>
      <c r="D1789">
        <v>4</v>
      </c>
      <c r="E1789">
        <v>0</v>
      </c>
      <c r="F1789">
        <v>0</v>
      </c>
      <c r="G1789">
        <v>3</v>
      </c>
      <c r="H1789">
        <v>0</v>
      </c>
      <c r="I1789">
        <v>4</v>
      </c>
      <c r="J1789">
        <v>17</v>
      </c>
      <c r="K1789">
        <f t="shared" si="29"/>
        <v>3</v>
      </c>
    </row>
    <row r="1790" spans="2:11" x14ac:dyDescent="0.35">
      <c r="B1790" t="s">
        <v>1786</v>
      </c>
      <c r="C1790">
        <v>64</v>
      </c>
      <c r="D1790">
        <v>4</v>
      </c>
      <c r="E1790">
        <v>0</v>
      </c>
      <c r="F1790">
        <v>0</v>
      </c>
      <c r="G1790">
        <v>0</v>
      </c>
      <c r="H1790">
        <v>7</v>
      </c>
      <c r="I1790">
        <v>11</v>
      </c>
      <c r="J1790">
        <v>43</v>
      </c>
      <c r="K1790">
        <f t="shared" si="29"/>
        <v>3</v>
      </c>
    </row>
    <row r="1791" spans="2:11" x14ac:dyDescent="0.35">
      <c r="B1791" t="s">
        <v>1787</v>
      </c>
      <c r="C1791">
        <v>8</v>
      </c>
      <c r="D1791">
        <v>2</v>
      </c>
      <c r="E1791">
        <v>0</v>
      </c>
      <c r="F1791">
        <v>0</v>
      </c>
      <c r="G1791">
        <v>0</v>
      </c>
      <c r="H1791">
        <v>1</v>
      </c>
      <c r="I1791">
        <v>2</v>
      </c>
      <c r="J1791">
        <v>4</v>
      </c>
      <c r="K1791">
        <f t="shared" si="29"/>
        <v>3</v>
      </c>
    </row>
    <row r="1792" spans="2:11" x14ac:dyDescent="0.35">
      <c r="B1792" t="s">
        <v>1788</v>
      </c>
      <c r="C1792">
        <v>47</v>
      </c>
      <c r="D1792">
        <v>1</v>
      </c>
      <c r="E1792">
        <v>0</v>
      </c>
      <c r="F1792">
        <v>0</v>
      </c>
      <c r="G1792">
        <v>2</v>
      </c>
      <c r="H1792">
        <v>1</v>
      </c>
      <c r="I1792">
        <v>5</v>
      </c>
      <c r="J1792">
        <v>39</v>
      </c>
      <c r="K1792">
        <f t="shared" si="29"/>
        <v>4</v>
      </c>
    </row>
    <row r="1793" spans="2:11" x14ac:dyDescent="0.35">
      <c r="B1793" t="s">
        <v>1789</v>
      </c>
      <c r="C1793">
        <v>16</v>
      </c>
      <c r="D1793">
        <v>3</v>
      </c>
      <c r="E1793">
        <v>0</v>
      </c>
      <c r="F1793">
        <v>0</v>
      </c>
      <c r="G1793">
        <v>0</v>
      </c>
      <c r="H1793">
        <v>0</v>
      </c>
      <c r="I1793">
        <v>7</v>
      </c>
      <c r="J1793">
        <v>7</v>
      </c>
      <c r="K1793">
        <f t="shared" si="29"/>
        <v>2</v>
      </c>
    </row>
    <row r="1794" spans="2:11" x14ac:dyDescent="0.35">
      <c r="B1794" t="s">
        <v>1790</v>
      </c>
      <c r="C1794">
        <v>7</v>
      </c>
      <c r="D1794">
        <v>0</v>
      </c>
      <c r="E1794">
        <v>0</v>
      </c>
      <c r="F1794">
        <v>0</v>
      </c>
      <c r="G1794">
        <v>3</v>
      </c>
      <c r="H1794">
        <v>0</v>
      </c>
      <c r="I1794">
        <v>3</v>
      </c>
      <c r="J1794">
        <v>2</v>
      </c>
      <c r="K1794">
        <f t="shared" si="29"/>
        <v>2</v>
      </c>
    </row>
    <row r="1795" spans="2:11" x14ac:dyDescent="0.35">
      <c r="B1795" t="s">
        <v>1791</v>
      </c>
      <c r="C1795">
        <v>9</v>
      </c>
      <c r="D1795">
        <v>2</v>
      </c>
      <c r="E1795">
        <v>0</v>
      </c>
      <c r="F1795">
        <v>0</v>
      </c>
      <c r="G1795">
        <v>1</v>
      </c>
      <c r="H1795">
        <v>0</v>
      </c>
      <c r="I1795">
        <v>3</v>
      </c>
      <c r="J1795">
        <v>4</v>
      </c>
      <c r="K1795">
        <f t="shared" si="29"/>
        <v>3</v>
      </c>
    </row>
    <row r="1796" spans="2:11" x14ac:dyDescent="0.35">
      <c r="B1796" t="s">
        <v>1792</v>
      </c>
      <c r="C1796">
        <v>16</v>
      </c>
      <c r="D1796">
        <v>0</v>
      </c>
      <c r="E1796">
        <v>0</v>
      </c>
      <c r="F1796">
        <v>0</v>
      </c>
      <c r="G1796">
        <v>0</v>
      </c>
      <c r="H1796">
        <v>4</v>
      </c>
      <c r="I1796">
        <v>6</v>
      </c>
      <c r="J1796">
        <v>7</v>
      </c>
      <c r="K1796">
        <f t="shared" si="29"/>
        <v>2</v>
      </c>
    </row>
    <row r="1797" spans="2:11" x14ac:dyDescent="0.35">
      <c r="B1797" t="s">
        <v>1793</v>
      </c>
      <c r="C1797">
        <v>29</v>
      </c>
      <c r="D1797">
        <v>0</v>
      </c>
      <c r="E1797">
        <v>1</v>
      </c>
      <c r="F1797">
        <v>0</v>
      </c>
      <c r="G1797">
        <v>2</v>
      </c>
      <c r="H1797">
        <v>5</v>
      </c>
      <c r="I1797">
        <v>10</v>
      </c>
      <c r="J1797">
        <v>12</v>
      </c>
      <c r="K1797">
        <f t="shared" si="29"/>
        <v>4</v>
      </c>
    </row>
    <row r="1798" spans="2:11" x14ac:dyDescent="0.35">
      <c r="B1798" t="s">
        <v>1794</v>
      </c>
      <c r="C1798">
        <v>49</v>
      </c>
      <c r="D1798">
        <v>6</v>
      </c>
      <c r="E1798">
        <v>0</v>
      </c>
      <c r="F1798">
        <v>0</v>
      </c>
      <c r="G1798">
        <v>3</v>
      </c>
      <c r="H1798">
        <v>6</v>
      </c>
      <c r="I1798">
        <v>12</v>
      </c>
      <c r="J1798">
        <v>23</v>
      </c>
      <c r="K1798">
        <f t="shared" si="29"/>
        <v>4</v>
      </c>
    </row>
    <row r="1799" spans="2:11" x14ac:dyDescent="0.35">
      <c r="B1799" t="s">
        <v>1795</v>
      </c>
      <c r="C1799">
        <v>12</v>
      </c>
      <c r="D1799">
        <v>1</v>
      </c>
      <c r="E1799">
        <v>0</v>
      </c>
      <c r="F1799">
        <v>0</v>
      </c>
      <c r="G1799">
        <v>0</v>
      </c>
      <c r="H1799">
        <v>2</v>
      </c>
      <c r="I1799">
        <v>0</v>
      </c>
      <c r="J1799">
        <v>10</v>
      </c>
      <c r="K1799">
        <f t="shared" si="29"/>
        <v>2</v>
      </c>
    </row>
    <row r="1800" spans="2:11" x14ac:dyDescent="0.35">
      <c r="B1800" t="s">
        <v>1796</v>
      </c>
      <c r="C1800">
        <v>41</v>
      </c>
      <c r="D1800">
        <v>0</v>
      </c>
      <c r="E1800">
        <v>0</v>
      </c>
      <c r="F1800">
        <v>0</v>
      </c>
      <c r="G1800">
        <v>1</v>
      </c>
      <c r="H1800">
        <v>17</v>
      </c>
      <c r="I1800">
        <v>7</v>
      </c>
      <c r="J1800">
        <v>17</v>
      </c>
      <c r="K1800">
        <f t="shared" si="29"/>
        <v>3</v>
      </c>
    </row>
    <row r="1801" spans="2:11" x14ac:dyDescent="0.35">
      <c r="B1801" t="s">
        <v>1797</v>
      </c>
      <c r="C1801">
        <v>44</v>
      </c>
      <c r="D1801">
        <v>3</v>
      </c>
      <c r="E1801">
        <v>0</v>
      </c>
      <c r="F1801">
        <v>2</v>
      </c>
      <c r="G1801">
        <v>4</v>
      </c>
      <c r="H1801">
        <v>2</v>
      </c>
      <c r="I1801">
        <v>17</v>
      </c>
      <c r="J1801">
        <v>17</v>
      </c>
      <c r="K1801">
        <f t="shared" si="29"/>
        <v>5</v>
      </c>
    </row>
    <row r="1802" spans="2:11" x14ac:dyDescent="0.35">
      <c r="B1802" t="s">
        <v>1798</v>
      </c>
      <c r="C1802">
        <v>41</v>
      </c>
      <c r="D1802">
        <v>0</v>
      </c>
      <c r="E1802">
        <v>0</v>
      </c>
      <c r="F1802">
        <v>0</v>
      </c>
      <c r="G1802">
        <v>1</v>
      </c>
      <c r="H1802">
        <v>0</v>
      </c>
      <c r="I1802">
        <v>6</v>
      </c>
      <c r="J1802">
        <v>35</v>
      </c>
      <c r="K1802">
        <f t="shared" si="29"/>
        <v>2</v>
      </c>
    </row>
    <row r="1803" spans="2:11" x14ac:dyDescent="0.35">
      <c r="B1803" t="s">
        <v>1799</v>
      </c>
      <c r="C1803">
        <v>37</v>
      </c>
      <c r="D1803">
        <v>2</v>
      </c>
      <c r="E1803">
        <v>1</v>
      </c>
      <c r="F1803">
        <v>1</v>
      </c>
      <c r="G1803">
        <v>0</v>
      </c>
      <c r="H1803">
        <v>7</v>
      </c>
      <c r="I1803">
        <v>6</v>
      </c>
      <c r="J1803">
        <v>21</v>
      </c>
      <c r="K1803">
        <f t="shared" si="29"/>
        <v>5</v>
      </c>
    </row>
    <row r="1804" spans="2:11" x14ac:dyDescent="0.35">
      <c r="B1804" t="s">
        <v>1800</v>
      </c>
      <c r="C1804">
        <v>103</v>
      </c>
      <c r="D1804">
        <v>2</v>
      </c>
      <c r="E1804">
        <v>0</v>
      </c>
      <c r="F1804">
        <v>0</v>
      </c>
      <c r="G1804">
        <v>1</v>
      </c>
      <c r="H1804">
        <v>0</v>
      </c>
      <c r="I1804">
        <v>60</v>
      </c>
      <c r="J1804">
        <v>41</v>
      </c>
      <c r="K1804">
        <f t="shared" ref="K1804:K1867" si="30">COUNTIF(D1804:I1804, "&gt;0")</f>
        <v>3</v>
      </c>
    </row>
    <row r="1805" spans="2:11" x14ac:dyDescent="0.35">
      <c r="B1805" t="s">
        <v>1801</v>
      </c>
      <c r="C1805">
        <v>6</v>
      </c>
      <c r="D1805">
        <v>0</v>
      </c>
      <c r="E1805">
        <v>0</v>
      </c>
      <c r="F1805">
        <v>0</v>
      </c>
      <c r="G1805">
        <v>0</v>
      </c>
      <c r="H1805">
        <v>1</v>
      </c>
      <c r="I1805">
        <v>2</v>
      </c>
      <c r="J1805">
        <v>4</v>
      </c>
      <c r="K1805">
        <f t="shared" si="30"/>
        <v>2</v>
      </c>
    </row>
    <row r="1806" spans="2:11" x14ac:dyDescent="0.35">
      <c r="B1806" t="s">
        <v>1802</v>
      </c>
      <c r="C1806">
        <v>5</v>
      </c>
      <c r="D1806">
        <v>1</v>
      </c>
      <c r="E1806">
        <v>0</v>
      </c>
      <c r="F1806">
        <v>1</v>
      </c>
      <c r="G1806">
        <v>0</v>
      </c>
      <c r="H1806">
        <v>0</v>
      </c>
      <c r="I1806">
        <v>0</v>
      </c>
      <c r="J1806">
        <v>4</v>
      </c>
      <c r="K1806">
        <f t="shared" si="30"/>
        <v>2</v>
      </c>
    </row>
    <row r="1807" spans="2:11" x14ac:dyDescent="0.35">
      <c r="B1807" t="s">
        <v>1803</v>
      </c>
      <c r="C1807">
        <v>5</v>
      </c>
      <c r="D1807">
        <v>1</v>
      </c>
      <c r="E1807">
        <v>0</v>
      </c>
      <c r="F1807">
        <v>1</v>
      </c>
      <c r="G1807">
        <v>0</v>
      </c>
      <c r="H1807">
        <v>0</v>
      </c>
      <c r="I1807">
        <v>0</v>
      </c>
      <c r="J1807">
        <v>4</v>
      </c>
      <c r="K1807">
        <f t="shared" si="30"/>
        <v>2</v>
      </c>
    </row>
    <row r="1808" spans="2:11" x14ac:dyDescent="0.35">
      <c r="B1808" t="s">
        <v>1804</v>
      </c>
      <c r="C1808">
        <v>35</v>
      </c>
      <c r="D1808">
        <v>1</v>
      </c>
      <c r="E1808">
        <v>0</v>
      </c>
      <c r="F1808">
        <v>1</v>
      </c>
      <c r="G1808">
        <v>0</v>
      </c>
      <c r="H1808">
        <v>0</v>
      </c>
      <c r="I1808">
        <v>4</v>
      </c>
      <c r="J1808">
        <v>30</v>
      </c>
      <c r="K1808">
        <f t="shared" si="30"/>
        <v>3</v>
      </c>
    </row>
    <row r="1809" spans="2:11" x14ac:dyDescent="0.35">
      <c r="B1809" t="s">
        <v>1805</v>
      </c>
      <c r="C1809">
        <v>26</v>
      </c>
      <c r="D1809">
        <v>2</v>
      </c>
      <c r="E1809">
        <v>0</v>
      </c>
      <c r="F1809">
        <v>1</v>
      </c>
      <c r="G1809">
        <v>0</v>
      </c>
      <c r="H1809">
        <v>6</v>
      </c>
      <c r="I1809">
        <v>9</v>
      </c>
      <c r="J1809">
        <v>9</v>
      </c>
      <c r="K1809">
        <f t="shared" si="30"/>
        <v>4</v>
      </c>
    </row>
    <row r="1810" spans="2:11" x14ac:dyDescent="0.35">
      <c r="B1810" t="s">
        <v>1806</v>
      </c>
      <c r="C1810">
        <v>19</v>
      </c>
      <c r="D1810">
        <v>0</v>
      </c>
      <c r="E1810">
        <v>0</v>
      </c>
      <c r="F1810">
        <v>1</v>
      </c>
      <c r="G1810">
        <v>0</v>
      </c>
      <c r="H1810">
        <v>2</v>
      </c>
      <c r="I1810">
        <v>10</v>
      </c>
      <c r="J1810">
        <v>7</v>
      </c>
      <c r="K1810">
        <f t="shared" si="30"/>
        <v>3</v>
      </c>
    </row>
    <row r="1811" spans="2:11" x14ac:dyDescent="0.35">
      <c r="B1811" t="s">
        <v>1807</v>
      </c>
      <c r="C1811">
        <v>31</v>
      </c>
      <c r="D1811">
        <v>4</v>
      </c>
      <c r="E1811">
        <v>0</v>
      </c>
      <c r="F1811">
        <v>0</v>
      </c>
      <c r="G1811">
        <v>2</v>
      </c>
      <c r="H1811">
        <v>1</v>
      </c>
      <c r="I1811">
        <v>16</v>
      </c>
      <c r="J1811">
        <v>9</v>
      </c>
      <c r="K1811">
        <f t="shared" si="30"/>
        <v>4</v>
      </c>
    </row>
    <row r="1812" spans="2:11" x14ac:dyDescent="0.35">
      <c r="B1812" t="s">
        <v>1808</v>
      </c>
      <c r="C1812">
        <v>54</v>
      </c>
      <c r="D1812">
        <v>1</v>
      </c>
      <c r="E1812">
        <v>0</v>
      </c>
      <c r="F1812">
        <v>0</v>
      </c>
      <c r="G1812">
        <v>0</v>
      </c>
      <c r="H1812">
        <v>24</v>
      </c>
      <c r="I1812">
        <v>8</v>
      </c>
      <c r="J1812">
        <v>22</v>
      </c>
      <c r="K1812">
        <f t="shared" si="30"/>
        <v>3</v>
      </c>
    </row>
    <row r="1813" spans="2:11" x14ac:dyDescent="0.35">
      <c r="B1813" t="s">
        <v>1809</v>
      </c>
      <c r="C1813">
        <v>28</v>
      </c>
      <c r="D1813">
        <v>3</v>
      </c>
      <c r="E1813">
        <v>1</v>
      </c>
      <c r="F1813">
        <v>0</v>
      </c>
      <c r="G1813">
        <v>1</v>
      </c>
      <c r="H1813">
        <v>4</v>
      </c>
      <c r="I1813">
        <v>9</v>
      </c>
      <c r="J1813">
        <v>11</v>
      </c>
      <c r="K1813">
        <f t="shared" si="30"/>
        <v>5</v>
      </c>
    </row>
    <row r="1814" spans="2:11" x14ac:dyDescent="0.35">
      <c r="B1814" t="s">
        <v>1810</v>
      </c>
      <c r="C1814">
        <v>74</v>
      </c>
      <c r="D1814">
        <v>0</v>
      </c>
      <c r="E1814">
        <v>0</v>
      </c>
      <c r="F1814">
        <v>3</v>
      </c>
      <c r="G1814">
        <v>9</v>
      </c>
      <c r="H1814">
        <v>3</v>
      </c>
      <c r="I1814">
        <v>20</v>
      </c>
      <c r="J1814">
        <v>40</v>
      </c>
      <c r="K1814">
        <f t="shared" si="30"/>
        <v>4</v>
      </c>
    </row>
    <row r="1815" spans="2:11" x14ac:dyDescent="0.35">
      <c r="B1815" t="s">
        <v>1811</v>
      </c>
      <c r="C1815">
        <v>128</v>
      </c>
      <c r="D1815">
        <v>4</v>
      </c>
      <c r="E1815">
        <v>0</v>
      </c>
      <c r="F1815">
        <v>0</v>
      </c>
      <c r="G1815">
        <v>6</v>
      </c>
      <c r="H1815">
        <v>14</v>
      </c>
      <c r="I1815">
        <v>63</v>
      </c>
      <c r="J1815">
        <v>42</v>
      </c>
      <c r="K1815">
        <f t="shared" si="30"/>
        <v>4</v>
      </c>
    </row>
    <row r="1816" spans="2:11" x14ac:dyDescent="0.35">
      <c r="B1816" t="s">
        <v>1812</v>
      </c>
      <c r="C1816">
        <v>80</v>
      </c>
      <c r="D1816">
        <v>3</v>
      </c>
      <c r="E1816">
        <v>2</v>
      </c>
      <c r="F1816">
        <v>2</v>
      </c>
      <c r="G1816">
        <v>15</v>
      </c>
      <c r="H1816">
        <v>7</v>
      </c>
      <c r="I1816">
        <v>23</v>
      </c>
      <c r="J1816">
        <v>29</v>
      </c>
      <c r="K1816">
        <f t="shared" si="30"/>
        <v>6</v>
      </c>
    </row>
    <row r="1817" spans="2:11" x14ac:dyDescent="0.35">
      <c r="B1817" t="s">
        <v>1813</v>
      </c>
      <c r="C1817">
        <v>87</v>
      </c>
      <c r="D1817">
        <v>3</v>
      </c>
      <c r="E1817">
        <v>2</v>
      </c>
      <c r="F1817">
        <v>2</v>
      </c>
      <c r="G1817">
        <v>16</v>
      </c>
      <c r="H1817">
        <v>9</v>
      </c>
      <c r="I1817">
        <v>25</v>
      </c>
      <c r="J1817">
        <v>31</v>
      </c>
      <c r="K1817">
        <f t="shared" si="30"/>
        <v>6</v>
      </c>
    </row>
    <row r="1818" spans="2:11" x14ac:dyDescent="0.35">
      <c r="B1818" t="s">
        <v>1814</v>
      </c>
      <c r="C1818">
        <v>15</v>
      </c>
      <c r="D1818">
        <v>0</v>
      </c>
      <c r="E1818">
        <v>0</v>
      </c>
      <c r="F1818">
        <v>0</v>
      </c>
      <c r="G1818">
        <v>2</v>
      </c>
      <c r="H1818">
        <v>5</v>
      </c>
      <c r="I1818">
        <v>1</v>
      </c>
      <c r="J1818">
        <v>8</v>
      </c>
      <c r="K1818">
        <f t="shared" si="30"/>
        <v>3</v>
      </c>
    </row>
    <row r="1819" spans="2:11" x14ac:dyDescent="0.35">
      <c r="B1819" t="s">
        <v>1815</v>
      </c>
      <c r="C1819">
        <v>8</v>
      </c>
      <c r="D1819">
        <v>2</v>
      </c>
      <c r="E1819">
        <v>0</v>
      </c>
      <c r="F1819">
        <v>0</v>
      </c>
      <c r="G1819">
        <v>0</v>
      </c>
      <c r="H1819">
        <v>0</v>
      </c>
      <c r="I1819">
        <v>3</v>
      </c>
      <c r="J1819">
        <v>4</v>
      </c>
      <c r="K1819">
        <f t="shared" si="30"/>
        <v>2</v>
      </c>
    </row>
    <row r="1820" spans="2:11" x14ac:dyDescent="0.35">
      <c r="B1820" t="s">
        <v>1816</v>
      </c>
      <c r="C1820">
        <v>78</v>
      </c>
      <c r="D1820">
        <v>2</v>
      </c>
      <c r="E1820">
        <v>0</v>
      </c>
      <c r="F1820">
        <v>0</v>
      </c>
      <c r="G1820">
        <v>9</v>
      </c>
      <c r="H1820">
        <v>9</v>
      </c>
      <c r="I1820">
        <v>28</v>
      </c>
      <c r="J1820">
        <v>31</v>
      </c>
      <c r="K1820">
        <f t="shared" si="30"/>
        <v>4</v>
      </c>
    </row>
    <row r="1821" spans="2:11" x14ac:dyDescent="0.35">
      <c r="B1821" t="s">
        <v>1817</v>
      </c>
      <c r="C1821">
        <v>32</v>
      </c>
      <c r="D1821">
        <v>3</v>
      </c>
      <c r="E1821">
        <v>0</v>
      </c>
      <c r="F1821">
        <v>0</v>
      </c>
      <c r="G1821">
        <v>5</v>
      </c>
      <c r="H1821">
        <v>0</v>
      </c>
      <c r="I1821">
        <v>17</v>
      </c>
      <c r="J1821">
        <v>8</v>
      </c>
      <c r="K1821">
        <f t="shared" si="30"/>
        <v>3</v>
      </c>
    </row>
    <row r="1822" spans="2:11" x14ac:dyDescent="0.35">
      <c r="B1822" t="s">
        <v>1818</v>
      </c>
      <c r="C1822">
        <v>4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2</v>
      </c>
      <c r="J1822">
        <v>3</v>
      </c>
      <c r="K1822">
        <f t="shared" si="30"/>
        <v>1</v>
      </c>
    </row>
    <row r="1823" spans="2:11" x14ac:dyDescent="0.35">
      <c r="B1823" t="s">
        <v>1819</v>
      </c>
      <c r="C1823">
        <v>37</v>
      </c>
      <c r="D1823">
        <v>5</v>
      </c>
      <c r="E1823">
        <v>2</v>
      </c>
      <c r="F1823">
        <v>3</v>
      </c>
      <c r="G1823">
        <v>3</v>
      </c>
      <c r="H1823">
        <v>1</v>
      </c>
      <c r="I1823">
        <v>5</v>
      </c>
      <c r="J1823">
        <v>19</v>
      </c>
      <c r="K1823">
        <f t="shared" si="30"/>
        <v>6</v>
      </c>
    </row>
    <row r="1824" spans="2:11" x14ac:dyDescent="0.35">
      <c r="B1824" t="s">
        <v>1820</v>
      </c>
      <c r="C1824">
        <v>54</v>
      </c>
      <c r="D1824">
        <v>6</v>
      </c>
      <c r="E1824">
        <v>0</v>
      </c>
      <c r="F1824">
        <v>1</v>
      </c>
      <c r="G1824">
        <v>4</v>
      </c>
      <c r="H1824">
        <v>8</v>
      </c>
      <c r="I1824">
        <v>8</v>
      </c>
      <c r="J1824">
        <v>28</v>
      </c>
      <c r="K1824">
        <f t="shared" si="30"/>
        <v>5</v>
      </c>
    </row>
    <row r="1825" spans="2:11" x14ac:dyDescent="0.35">
      <c r="B1825" t="s">
        <v>1821</v>
      </c>
      <c r="C1825">
        <v>40</v>
      </c>
      <c r="D1825">
        <v>2</v>
      </c>
      <c r="E1825">
        <v>0</v>
      </c>
      <c r="F1825">
        <v>1</v>
      </c>
      <c r="G1825">
        <v>3</v>
      </c>
      <c r="H1825">
        <v>2</v>
      </c>
      <c r="I1825">
        <v>7</v>
      </c>
      <c r="J1825">
        <v>26</v>
      </c>
      <c r="K1825">
        <f t="shared" si="30"/>
        <v>5</v>
      </c>
    </row>
    <row r="1826" spans="2:11" x14ac:dyDescent="0.35">
      <c r="B1826" t="s">
        <v>1822</v>
      </c>
      <c r="C1826">
        <v>33</v>
      </c>
      <c r="D1826">
        <v>3</v>
      </c>
      <c r="E1826">
        <v>1</v>
      </c>
      <c r="F1826">
        <v>0</v>
      </c>
      <c r="G1826">
        <v>2</v>
      </c>
      <c r="H1826">
        <v>2</v>
      </c>
      <c r="I1826">
        <v>12</v>
      </c>
      <c r="J1826">
        <v>14</v>
      </c>
      <c r="K1826">
        <f t="shared" si="30"/>
        <v>5</v>
      </c>
    </row>
    <row r="1827" spans="2:11" x14ac:dyDescent="0.35">
      <c r="B1827" t="s">
        <v>1823</v>
      </c>
      <c r="C1827">
        <v>24</v>
      </c>
      <c r="D1827">
        <v>3</v>
      </c>
      <c r="E1827">
        <v>1</v>
      </c>
      <c r="F1827">
        <v>0</v>
      </c>
      <c r="G1827">
        <v>1</v>
      </c>
      <c r="H1827">
        <v>1</v>
      </c>
      <c r="I1827">
        <v>7</v>
      </c>
      <c r="J1827">
        <v>12</v>
      </c>
      <c r="K1827">
        <f t="shared" si="30"/>
        <v>5</v>
      </c>
    </row>
    <row r="1828" spans="2:11" x14ac:dyDescent="0.35">
      <c r="B1828" t="s">
        <v>1824</v>
      </c>
      <c r="C1828">
        <v>25</v>
      </c>
      <c r="D1828">
        <v>5</v>
      </c>
      <c r="E1828">
        <v>0</v>
      </c>
      <c r="F1828">
        <v>0</v>
      </c>
      <c r="G1828">
        <v>1</v>
      </c>
      <c r="H1828">
        <v>1</v>
      </c>
      <c r="I1828">
        <v>8</v>
      </c>
      <c r="J1828">
        <v>11</v>
      </c>
      <c r="K1828">
        <f t="shared" si="30"/>
        <v>4</v>
      </c>
    </row>
    <row r="1829" spans="2:11" x14ac:dyDescent="0.35">
      <c r="B1829" t="s">
        <v>1825</v>
      </c>
      <c r="C1829">
        <v>17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6</v>
      </c>
      <c r="J1829">
        <v>12</v>
      </c>
      <c r="K1829">
        <f t="shared" si="30"/>
        <v>1</v>
      </c>
    </row>
    <row r="1830" spans="2:11" x14ac:dyDescent="0.35">
      <c r="B1830" t="s">
        <v>1826</v>
      </c>
      <c r="C1830">
        <v>9</v>
      </c>
      <c r="D1830">
        <v>1</v>
      </c>
      <c r="E1830">
        <v>0</v>
      </c>
      <c r="F1830">
        <v>0</v>
      </c>
      <c r="G1830">
        <v>0</v>
      </c>
      <c r="H1830">
        <v>1</v>
      </c>
      <c r="I1830">
        <v>3</v>
      </c>
      <c r="J1830">
        <v>5</v>
      </c>
      <c r="K1830">
        <f t="shared" si="30"/>
        <v>3</v>
      </c>
    </row>
    <row r="1831" spans="2:11" x14ac:dyDescent="0.35">
      <c r="B1831" t="s">
        <v>1827</v>
      </c>
      <c r="C1831">
        <v>108</v>
      </c>
      <c r="D1831">
        <v>4</v>
      </c>
      <c r="E1831">
        <v>0</v>
      </c>
      <c r="F1831">
        <v>0</v>
      </c>
      <c r="G1831">
        <v>31</v>
      </c>
      <c r="H1831">
        <v>18</v>
      </c>
      <c r="I1831">
        <v>28</v>
      </c>
      <c r="J1831">
        <v>28</v>
      </c>
      <c r="K1831">
        <f t="shared" si="30"/>
        <v>4</v>
      </c>
    </row>
    <row r="1832" spans="2:11" x14ac:dyDescent="0.35">
      <c r="B1832" t="s">
        <v>1828</v>
      </c>
      <c r="C1832">
        <v>36</v>
      </c>
      <c r="D1832">
        <v>0</v>
      </c>
      <c r="E1832">
        <v>1</v>
      </c>
      <c r="F1832">
        <v>1</v>
      </c>
      <c r="G1832">
        <v>5</v>
      </c>
      <c r="H1832">
        <v>0</v>
      </c>
      <c r="I1832">
        <v>8</v>
      </c>
      <c r="J1832">
        <v>22</v>
      </c>
      <c r="K1832">
        <f t="shared" si="30"/>
        <v>4</v>
      </c>
    </row>
    <row r="1833" spans="2:11" x14ac:dyDescent="0.35">
      <c r="B1833" t="s">
        <v>1829</v>
      </c>
      <c r="C1833">
        <v>28</v>
      </c>
      <c r="D1833">
        <v>5</v>
      </c>
      <c r="E1833">
        <v>0</v>
      </c>
      <c r="F1833">
        <v>0</v>
      </c>
      <c r="G1833">
        <v>0</v>
      </c>
      <c r="H1833">
        <v>1</v>
      </c>
      <c r="I1833">
        <v>10</v>
      </c>
      <c r="J1833">
        <v>13</v>
      </c>
      <c r="K1833">
        <f t="shared" si="30"/>
        <v>3</v>
      </c>
    </row>
    <row r="1834" spans="2:11" x14ac:dyDescent="0.35">
      <c r="B1834" t="s">
        <v>1830</v>
      </c>
      <c r="C1834">
        <v>11</v>
      </c>
      <c r="D1834">
        <v>0</v>
      </c>
      <c r="E1834">
        <v>0</v>
      </c>
      <c r="F1834">
        <v>0</v>
      </c>
      <c r="G1834">
        <v>1</v>
      </c>
      <c r="H1834">
        <v>0</v>
      </c>
      <c r="I1834">
        <v>4</v>
      </c>
      <c r="J1834">
        <v>7</v>
      </c>
      <c r="K1834">
        <f t="shared" si="30"/>
        <v>2</v>
      </c>
    </row>
    <row r="1835" spans="2:11" x14ac:dyDescent="0.35">
      <c r="B1835" t="s">
        <v>1831</v>
      </c>
      <c r="C1835">
        <v>11</v>
      </c>
      <c r="D1835">
        <v>0</v>
      </c>
      <c r="E1835">
        <v>1</v>
      </c>
      <c r="F1835">
        <v>0</v>
      </c>
      <c r="G1835">
        <v>0</v>
      </c>
      <c r="H1835">
        <v>2</v>
      </c>
      <c r="I1835">
        <v>4</v>
      </c>
      <c r="J1835">
        <v>5</v>
      </c>
      <c r="K1835">
        <f t="shared" si="30"/>
        <v>3</v>
      </c>
    </row>
    <row r="1836" spans="2:11" x14ac:dyDescent="0.35">
      <c r="B1836" t="s">
        <v>1832</v>
      </c>
      <c r="C1836">
        <v>21</v>
      </c>
      <c r="D1836">
        <v>3</v>
      </c>
      <c r="E1836">
        <v>0</v>
      </c>
      <c r="F1836">
        <v>0</v>
      </c>
      <c r="G1836">
        <v>6</v>
      </c>
      <c r="H1836">
        <v>1</v>
      </c>
      <c r="I1836">
        <v>8</v>
      </c>
      <c r="J1836">
        <v>4</v>
      </c>
      <c r="K1836">
        <f t="shared" si="30"/>
        <v>4</v>
      </c>
    </row>
    <row r="1837" spans="2:11" x14ac:dyDescent="0.35">
      <c r="B1837" t="s">
        <v>1833</v>
      </c>
      <c r="C1837">
        <v>21</v>
      </c>
      <c r="D1837">
        <v>3</v>
      </c>
      <c r="E1837">
        <v>0</v>
      </c>
      <c r="F1837">
        <v>0</v>
      </c>
      <c r="G1837">
        <v>6</v>
      </c>
      <c r="H1837">
        <v>1</v>
      </c>
      <c r="I1837">
        <v>8</v>
      </c>
      <c r="J1837">
        <v>4</v>
      </c>
      <c r="K1837">
        <f t="shared" si="30"/>
        <v>4</v>
      </c>
    </row>
    <row r="1838" spans="2:11" x14ac:dyDescent="0.35">
      <c r="B1838" t="s">
        <v>1834</v>
      </c>
      <c r="C1838">
        <v>28</v>
      </c>
      <c r="D1838">
        <v>3</v>
      </c>
      <c r="E1838">
        <v>0</v>
      </c>
      <c r="F1838">
        <v>0</v>
      </c>
      <c r="G1838">
        <v>4</v>
      </c>
      <c r="H1838">
        <v>1</v>
      </c>
      <c r="I1838">
        <v>9</v>
      </c>
      <c r="J1838">
        <v>12</v>
      </c>
      <c r="K1838">
        <f t="shared" si="30"/>
        <v>4</v>
      </c>
    </row>
    <row r="1839" spans="2:11" x14ac:dyDescent="0.35">
      <c r="B1839" t="s">
        <v>1835</v>
      </c>
      <c r="C1839">
        <v>78</v>
      </c>
      <c r="D1839">
        <v>0</v>
      </c>
      <c r="E1839">
        <v>3</v>
      </c>
      <c r="F1839">
        <v>2</v>
      </c>
      <c r="G1839">
        <v>1</v>
      </c>
      <c r="H1839">
        <v>18</v>
      </c>
      <c r="I1839">
        <v>7</v>
      </c>
      <c r="J1839">
        <v>48</v>
      </c>
      <c r="K1839">
        <f t="shared" si="30"/>
        <v>5</v>
      </c>
    </row>
    <row r="1840" spans="2:11" x14ac:dyDescent="0.35">
      <c r="B1840" t="s">
        <v>1836</v>
      </c>
      <c r="C1840">
        <v>9</v>
      </c>
      <c r="D1840">
        <v>1</v>
      </c>
      <c r="E1840">
        <v>0</v>
      </c>
      <c r="F1840">
        <v>1</v>
      </c>
      <c r="G1840">
        <v>0</v>
      </c>
      <c r="H1840">
        <v>0</v>
      </c>
      <c r="I1840">
        <v>5</v>
      </c>
      <c r="J1840">
        <v>3</v>
      </c>
      <c r="K1840">
        <f t="shared" si="30"/>
        <v>3</v>
      </c>
    </row>
    <row r="1841" spans="2:11" x14ac:dyDescent="0.35">
      <c r="B1841" t="s">
        <v>1837</v>
      </c>
      <c r="C1841">
        <v>9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4</v>
      </c>
      <c r="J1841">
        <v>6</v>
      </c>
      <c r="K1841">
        <f t="shared" si="30"/>
        <v>1</v>
      </c>
    </row>
    <row r="1842" spans="2:11" x14ac:dyDescent="0.35">
      <c r="B1842" t="s">
        <v>1838</v>
      </c>
      <c r="C1842">
        <v>9</v>
      </c>
      <c r="D1842">
        <v>3</v>
      </c>
      <c r="E1842">
        <v>0</v>
      </c>
      <c r="F1842">
        <v>0</v>
      </c>
      <c r="G1842">
        <v>1</v>
      </c>
      <c r="H1842">
        <v>0</v>
      </c>
      <c r="I1842">
        <v>1</v>
      </c>
      <c r="J1842">
        <v>5</v>
      </c>
      <c r="K1842">
        <f t="shared" si="30"/>
        <v>3</v>
      </c>
    </row>
    <row r="1843" spans="2:11" x14ac:dyDescent="0.35">
      <c r="B1843" t="s">
        <v>1839</v>
      </c>
      <c r="C1843">
        <v>19</v>
      </c>
      <c r="D1843">
        <v>0</v>
      </c>
      <c r="E1843">
        <v>0</v>
      </c>
      <c r="F1843">
        <v>0</v>
      </c>
      <c r="G1843">
        <v>0</v>
      </c>
      <c r="H1843">
        <v>3</v>
      </c>
      <c r="I1843">
        <v>4</v>
      </c>
      <c r="J1843">
        <v>13</v>
      </c>
      <c r="K1843">
        <f t="shared" si="30"/>
        <v>2</v>
      </c>
    </row>
    <row r="1844" spans="2:11" x14ac:dyDescent="0.35">
      <c r="B1844" t="s">
        <v>1840</v>
      </c>
      <c r="C1844">
        <v>14</v>
      </c>
      <c r="D1844">
        <v>0</v>
      </c>
      <c r="E1844">
        <v>0</v>
      </c>
      <c r="F1844">
        <v>0</v>
      </c>
      <c r="G1844">
        <v>0</v>
      </c>
      <c r="H1844">
        <v>1</v>
      </c>
      <c r="I1844">
        <v>3</v>
      </c>
      <c r="J1844">
        <v>11</v>
      </c>
      <c r="K1844">
        <f t="shared" si="30"/>
        <v>2</v>
      </c>
    </row>
    <row r="1845" spans="2:11" x14ac:dyDescent="0.35">
      <c r="B1845" t="s">
        <v>1841</v>
      </c>
      <c r="C1845">
        <v>70</v>
      </c>
      <c r="D1845">
        <v>2</v>
      </c>
      <c r="E1845">
        <v>0</v>
      </c>
      <c r="F1845">
        <v>1</v>
      </c>
      <c r="G1845">
        <v>0</v>
      </c>
      <c r="H1845">
        <v>7</v>
      </c>
      <c r="I1845">
        <v>29</v>
      </c>
      <c r="J1845">
        <v>32</v>
      </c>
      <c r="K1845">
        <f t="shared" si="30"/>
        <v>4</v>
      </c>
    </row>
    <row r="1846" spans="2:11" x14ac:dyDescent="0.35">
      <c r="B1846" t="s">
        <v>1842</v>
      </c>
      <c r="C1846">
        <v>58</v>
      </c>
      <c r="D1846">
        <v>1</v>
      </c>
      <c r="E1846">
        <v>0</v>
      </c>
      <c r="F1846">
        <v>3</v>
      </c>
      <c r="G1846">
        <v>1</v>
      </c>
      <c r="H1846">
        <v>4</v>
      </c>
      <c r="I1846">
        <v>10</v>
      </c>
      <c r="J1846">
        <v>40</v>
      </c>
      <c r="K1846">
        <f t="shared" si="30"/>
        <v>5</v>
      </c>
    </row>
    <row r="1847" spans="2:11" x14ac:dyDescent="0.35">
      <c r="B1847" t="s">
        <v>1843</v>
      </c>
      <c r="C1847">
        <v>99</v>
      </c>
      <c r="D1847">
        <v>3</v>
      </c>
      <c r="E1847">
        <v>0</v>
      </c>
      <c r="F1847">
        <v>1</v>
      </c>
      <c r="G1847">
        <v>32</v>
      </c>
      <c r="H1847">
        <v>6</v>
      </c>
      <c r="I1847">
        <v>30</v>
      </c>
      <c r="J1847">
        <v>28</v>
      </c>
      <c r="K1847">
        <f t="shared" si="30"/>
        <v>5</v>
      </c>
    </row>
    <row r="1848" spans="2:11" x14ac:dyDescent="0.35">
      <c r="B1848" t="s">
        <v>1844</v>
      </c>
      <c r="C1848">
        <v>23</v>
      </c>
      <c r="D1848">
        <v>0</v>
      </c>
      <c r="E1848">
        <v>0</v>
      </c>
      <c r="F1848">
        <v>0</v>
      </c>
      <c r="G1848">
        <v>1</v>
      </c>
      <c r="H1848">
        <v>1</v>
      </c>
      <c r="I1848">
        <v>5</v>
      </c>
      <c r="J1848">
        <v>17</v>
      </c>
      <c r="K1848">
        <f t="shared" si="30"/>
        <v>3</v>
      </c>
    </row>
    <row r="1849" spans="2:11" x14ac:dyDescent="0.35">
      <c r="B1849" t="s">
        <v>1845</v>
      </c>
      <c r="C1849">
        <v>185</v>
      </c>
      <c r="D1849">
        <v>8</v>
      </c>
      <c r="E1849">
        <v>1</v>
      </c>
      <c r="F1849">
        <v>0</v>
      </c>
      <c r="G1849">
        <v>1</v>
      </c>
      <c r="H1849">
        <v>100</v>
      </c>
      <c r="I1849">
        <v>24</v>
      </c>
      <c r="J1849">
        <v>52</v>
      </c>
      <c r="K1849">
        <f t="shared" si="30"/>
        <v>5</v>
      </c>
    </row>
    <row r="1850" spans="2:11" x14ac:dyDescent="0.35">
      <c r="B1850" t="s">
        <v>1846</v>
      </c>
      <c r="C1850">
        <v>46</v>
      </c>
      <c r="D1850">
        <v>5</v>
      </c>
      <c r="E1850">
        <v>0</v>
      </c>
      <c r="F1850">
        <v>1</v>
      </c>
      <c r="G1850">
        <v>0</v>
      </c>
      <c r="H1850">
        <v>14</v>
      </c>
      <c r="I1850">
        <v>9</v>
      </c>
      <c r="J1850">
        <v>18</v>
      </c>
      <c r="K1850">
        <f t="shared" si="30"/>
        <v>4</v>
      </c>
    </row>
    <row r="1851" spans="2:11" x14ac:dyDescent="0.35">
      <c r="B1851" t="s">
        <v>1847</v>
      </c>
      <c r="C1851">
        <v>5</v>
      </c>
      <c r="D1851">
        <v>0</v>
      </c>
      <c r="E1851">
        <v>0</v>
      </c>
      <c r="F1851">
        <v>0</v>
      </c>
      <c r="G1851">
        <v>1</v>
      </c>
      <c r="H1851">
        <v>0</v>
      </c>
      <c r="I1851">
        <v>3</v>
      </c>
      <c r="J1851">
        <v>2</v>
      </c>
      <c r="K1851">
        <f t="shared" si="30"/>
        <v>2</v>
      </c>
    </row>
    <row r="1852" spans="2:11" x14ac:dyDescent="0.35">
      <c r="B1852" t="s">
        <v>1848</v>
      </c>
      <c r="C1852">
        <v>5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</v>
      </c>
      <c r="J1852">
        <v>3</v>
      </c>
      <c r="K1852">
        <f t="shared" si="30"/>
        <v>2</v>
      </c>
    </row>
    <row r="1853" spans="2:11" x14ac:dyDescent="0.35">
      <c r="B1853" t="s">
        <v>1849</v>
      </c>
      <c r="C1853">
        <v>24</v>
      </c>
      <c r="D1853">
        <v>2</v>
      </c>
      <c r="E1853">
        <v>1</v>
      </c>
      <c r="F1853">
        <v>0</v>
      </c>
      <c r="G1853">
        <v>0</v>
      </c>
      <c r="H1853">
        <v>1</v>
      </c>
      <c r="I1853">
        <v>6</v>
      </c>
      <c r="J1853">
        <v>15</v>
      </c>
      <c r="K1853">
        <f t="shared" si="30"/>
        <v>4</v>
      </c>
    </row>
    <row r="1854" spans="2:11" x14ac:dyDescent="0.35">
      <c r="B1854" t="s">
        <v>1850</v>
      </c>
      <c r="C1854">
        <v>35</v>
      </c>
      <c r="D1854">
        <v>3</v>
      </c>
      <c r="E1854">
        <v>0</v>
      </c>
      <c r="F1854">
        <v>0</v>
      </c>
      <c r="G1854">
        <v>10</v>
      </c>
      <c r="H1854">
        <v>6</v>
      </c>
      <c r="I1854">
        <v>3</v>
      </c>
      <c r="J1854">
        <v>14</v>
      </c>
      <c r="K1854">
        <f t="shared" si="30"/>
        <v>4</v>
      </c>
    </row>
    <row r="1855" spans="2:11" x14ac:dyDescent="0.35">
      <c r="B1855" t="s">
        <v>1851</v>
      </c>
      <c r="C1855">
        <v>16</v>
      </c>
      <c r="D1855">
        <v>0</v>
      </c>
      <c r="E1855">
        <v>0</v>
      </c>
      <c r="F1855">
        <v>0</v>
      </c>
      <c r="G1855">
        <v>0</v>
      </c>
      <c r="H1855">
        <v>1</v>
      </c>
      <c r="I1855">
        <v>10</v>
      </c>
      <c r="J1855">
        <v>6</v>
      </c>
      <c r="K1855">
        <f t="shared" si="30"/>
        <v>2</v>
      </c>
    </row>
    <row r="1856" spans="2:11" x14ac:dyDescent="0.35">
      <c r="B1856" t="s">
        <v>1852</v>
      </c>
      <c r="C1856">
        <v>12</v>
      </c>
      <c r="D1856">
        <v>2</v>
      </c>
      <c r="E1856">
        <v>0</v>
      </c>
      <c r="F1856">
        <v>0</v>
      </c>
      <c r="G1856">
        <v>0</v>
      </c>
      <c r="H1856">
        <v>0</v>
      </c>
      <c r="I1856">
        <v>5</v>
      </c>
      <c r="J1856">
        <v>6</v>
      </c>
      <c r="K1856">
        <f t="shared" si="30"/>
        <v>2</v>
      </c>
    </row>
    <row r="1857" spans="2:11" x14ac:dyDescent="0.35">
      <c r="B1857" t="s">
        <v>1853</v>
      </c>
      <c r="C1857">
        <v>24</v>
      </c>
      <c r="D1857">
        <v>0</v>
      </c>
      <c r="E1857">
        <v>0</v>
      </c>
      <c r="F1857">
        <v>0</v>
      </c>
      <c r="G1857">
        <v>0</v>
      </c>
      <c r="H1857">
        <v>10</v>
      </c>
      <c r="I1857">
        <v>9</v>
      </c>
      <c r="J1857">
        <v>6</v>
      </c>
      <c r="K1857">
        <f t="shared" si="30"/>
        <v>2</v>
      </c>
    </row>
    <row r="1858" spans="2:11" x14ac:dyDescent="0.35">
      <c r="B1858" t="s">
        <v>1854</v>
      </c>
      <c r="C1858">
        <v>9</v>
      </c>
      <c r="D1858">
        <v>5</v>
      </c>
      <c r="E1858">
        <v>0</v>
      </c>
      <c r="F1858">
        <v>0</v>
      </c>
      <c r="G1858">
        <v>0</v>
      </c>
      <c r="H1858">
        <v>0</v>
      </c>
      <c r="I1858">
        <v>1</v>
      </c>
      <c r="J1858">
        <v>4</v>
      </c>
      <c r="K1858">
        <f t="shared" si="30"/>
        <v>2</v>
      </c>
    </row>
    <row r="1859" spans="2:11" x14ac:dyDescent="0.35">
      <c r="B1859" t="s">
        <v>1855</v>
      </c>
      <c r="C1859">
        <v>58</v>
      </c>
      <c r="D1859">
        <v>3</v>
      </c>
      <c r="E1859">
        <v>0</v>
      </c>
      <c r="F1859">
        <v>0</v>
      </c>
      <c r="G1859">
        <v>8</v>
      </c>
      <c r="H1859">
        <v>4</v>
      </c>
      <c r="I1859">
        <v>29</v>
      </c>
      <c r="J1859">
        <v>15</v>
      </c>
      <c r="K1859">
        <f t="shared" si="30"/>
        <v>4</v>
      </c>
    </row>
    <row r="1860" spans="2:11" x14ac:dyDescent="0.35">
      <c r="B1860" t="s">
        <v>1856</v>
      </c>
      <c r="C1860">
        <v>18</v>
      </c>
      <c r="D1860">
        <v>1</v>
      </c>
      <c r="E1860">
        <v>0</v>
      </c>
      <c r="F1860">
        <v>1</v>
      </c>
      <c r="G1860">
        <v>1</v>
      </c>
      <c r="H1860">
        <v>3</v>
      </c>
      <c r="I1860">
        <v>5</v>
      </c>
      <c r="J1860">
        <v>8</v>
      </c>
      <c r="K1860">
        <f t="shared" si="30"/>
        <v>5</v>
      </c>
    </row>
    <row r="1861" spans="2:11" x14ac:dyDescent="0.35">
      <c r="B1861" t="s">
        <v>1857</v>
      </c>
      <c r="C1861">
        <v>7</v>
      </c>
      <c r="D1861">
        <v>1</v>
      </c>
      <c r="E1861">
        <v>0</v>
      </c>
      <c r="F1861">
        <v>0</v>
      </c>
      <c r="G1861">
        <v>0</v>
      </c>
      <c r="H1861">
        <v>0</v>
      </c>
      <c r="I1861">
        <v>1</v>
      </c>
      <c r="J1861">
        <v>6</v>
      </c>
      <c r="K1861">
        <f t="shared" si="30"/>
        <v>2</v>
      </c>
    </row>
    <row r="1862" spans="2:11" x14ac:dyDescent="0.35">
      <c r="B1862" t="s">
        <v>1858</v>
      </c>
      <c r="C1862">
        <v>53</v>
      </c>
      <c r="D1862">
        <v>8</v>
      </c>
      <c r="E1862">
        <v>0</v>
      </c>
      <c r="F1862">
        <v>0</v>
      </c>
      <c r="G1862">
        <v>5</v>
      </c>
      <c r="H1862">
        <v>1</v>
      </c>
      <c r="I1862">
        <v>26</v>
      </c>
      <c r="J1862">
        <v>14</v>
      </c>
      <c r="K1862">
        <f t="shared" si="30"/>
        <v>4</v>
      </c>
    </row>
    <row r="1863" spans="2:11" x14ac:dyDescent="0.35">
      <c r="B1863" t="s">
        <v>1859</v>
      </c>
      <c r="C1863">
        <v>71</v>
      </c>
      <c r="D1863">
        <v>9</v>
      </c>
      <c r="E1863">
        <v>2</v>
      </c>
      <c r="F1863">
        <v>0</v>
      </c>
      <c r="G1863">
        <v>7</v>
      </c>
      <c r="H1863">
        <v>5</v>
      </c>
      <c r="I1863">
        <v>31</v>
      </c>
      <c r="J1863">
        <v>18</v>
      </c>
      <c r="K1863">
        <f t="shared" si="30"/>
        <v>5</v>
      </c>
    </row>
    <row r="1864" spans="2:11" x14ac:dyDescent="0.35">
      <c r="B1864" t="s">
        <v>1860</v>
      </c>
      <c r="C1864">
        <v>52</v>
      </c>
      <c r="D1864">
        <v>1</v>
      </c>
      <c r="E1864">
        <v>0</v>
      </c>
      <c r="F1864">
        <v>0</v>
      </c>
      <c r="G1864">
        <v>0</v>
      </c>
      <c r="H1864">
        <v>19</v>
      </c>
      <c r="I1864">
        <v>12</v>
      </c>
      <c r="J1864">
        <v>21</v>
      </c>
      <c r="K1864">
        <f t="shared" si="30"/>
        <v>3</v>
      </c>
    </row>
    <row r="1865" spans="2:11" x14ac:dyDescent="0.35">
      <c r="B1865" t="s">
        <v>1861</v>
      </c>
      <c r="C1865">
        <v>33</v>
      </c>
      <c r="D1865">
        <v>6</v>
      </c>
      <c r="E1865">
        <v>2</v>
      </c>
      <c r="F1865">
        <v>0</v>
      </c>
      <c r="G1865">
        <v>0</v>
      </c>
      <c r="H1865">
        <v>0</v>
      </c>
      <c r="I1865">
        <v>14</v>
      </c>
      <c r="J1865">
        <v>12</v>
      </c>
      <c r="K1865">
        <f t="shared" si="30"/>
        <v>3</v>
      </c>
    </row>
    <row r="1866" spans="2:11" x14ac:dyDescent="0.35">
      <c r="B1866" t="s">
        <v>1862</v>
      </c>
      <c r="C1866">
        <v>33</v>
      </c>
      <c r="D1866">
        <v>6</v>
      </c>
      <c r="E1866">
        <v>2</v>
      </c>
      <c r="F1866">
        <v>0</v>
      </c>
      <c r="G1866">
        <v>0</v>
      </c>
      <c r="H1866">
        <v>0</v>
      </c>
      <c r="I1866">
        <v>14</v>
      </c>
      <c r="J1866">
        <v>12</v>
      </c>
      <c r="K1866">
        <f t="shared" si="30"/>
        <v>3</v>
      </c>
    </row>
    <row r="1867" spans="2:11" x14ac:dyDescent="0.35">
      <c r="B1867" t="s">
        <v>1863</v>
      </c>
      <c r="C1867">
        <v>33</v>
      </c>
      <c r="D1867">
        <v>6</v>
      </c>
      <c r="E1867">
        <v>2</v>
      </c>
      <c r="F1867">
        <v>0</v>
      </c>
      <c r="G1867">
        <v>0</v>
      </c>
      <c r="H1867">
        <v>0</v>
      </c>
      <c r="I1867">
        <v>14</v>
      </c>
      <c r="J1867">
        <v>12</v>
      </c>
      <c r="K1867">
        <f t="shared" si="30"/>
        <v>3</v>
      </c>
    </row>
    <row r="1868" spans="2:11" x14ac:dyDescent="0.35">
      <c r="B1868" t="s">
        <v>1864</v>
      </c>
      <c r="C1868">
        <v>45</v>
      </c>
      <c r="D1868">
        <v>6</v>
      </c>
      <c r="E1868">
        <v>0</v>
      </c>
      <c r="F1868">
        <v>2</v>
      </c>
      <c r="G1868">
        <v>0</v>
      </c>
      <c r="H1868">
        <v>6</v>
      </c>
      <c r="I1868">
        <v>7</v>
      </c>
      <c r="J1868">
        <v>25</v>
      </c>
      <c r="K1868">
        <f t="shared" ref="K1868:K1931" si="31">COUNTIF(D1868:I1868, "&gt;0")</f>
        <v>4</v>
      </c>
    </row>
    <row r="1869" spans="2:11" x14ac:dyDescent="0.35">
      <c r="B1869" t="s">
        <v>1865</v>
      </c>
      <c r="C1869">
        <v>7</v>
      </c>
      <c r="D1869">
        <v>2</v>
      </c>
      <c r="E1869">
        <v>0</v>
      </c>
      <c r="F1869">
        <v>0</v>
      </c>
      <c r="G1869">
        <v>0</v>
      </c>
      <c r="H1869">
        <v>2</v>
      </c>
      <c r="I1869">
        <v>3</v>
      </c>
      <c r="J1869">
        <v>1</v>
      </c>
      <c r="K1869">
        <f t="shared" si="31"/>
        <v>3</v>
      </c>
    </row>
    <row r="1870" spans="2:11" x14ac:dyDescent="0.35">
      <c r="B1870" t="s">
        <v>1866</v>
      </c>
      <c r="C1870">
        <v>10</v>
      </c>
      <c r="D1870">
        <v>2</v>
      </c>
      <c r="E1870">
        <v>0</v>
      </c>
      <c r="F1870">
        <v>0</v>
      </c>
      <c r="G1870">
        <v>0</v>
      </c>
      <c r="H1870">
        <v>1</v>
      </c>
      <c r="I1870">
        <v>6</v>
      </c>
      <c r="J1870">
        <v>2</v>
      </c>
      <c r="K1870">
        <f t="shared" si="31"/>
        <v>3</v>
      </c>
    </row>
    <row r="1871" spans="2:11" x14ac:dyDescent="0.35">
      <c r="B1871" t="s">
        <v>1867</v>
      </c>
      <c r="C1871">
        <v>13</v>
      </c>
      <c r="D1871">
        <v>0</v>
      </c>
      <c r="E1871">
        <v>0</v>
      </c>
      <c r="F1871">
        <v>0</v>
      </c>
      <c r="G1871">
        <v>2</v>
      </c>
      <c r="H1871">
        <v>2</v>
      </c>
      <c r="I1871">
        <v>5</v>
      </c>
      <c r="J1871">
        <v>5</v>
      </c>
      <c r="K1871">
        <f t="shared" si="31"/>
        <v>3</v>
      </c>
    </row>
    <row r="1872" spans="2:11" x14ac:dyDescent="0.35">
      <c r="B1872" t="s">
        <v>1868</v>
      </c>
      <c r="C1872">
        <v>98</v>
      </c>
      <c r="D1872">
        <v>1</v>
      </c>
      <c r="E1872">
        <v>1</v>
      </c>
      <c r="F1872">
        <v>4</v>
      </c>
      <c r="G1872">
        <v>2</v>
      </c>
      <c r="H1872">
        <v>33</v>
      </c>
      <c r="I1872">
        <v>26</v>
      </c>
      <c r="J1872">
        <v>32</v>
      </c>
      <c r="K1872">
        <f t="shared" si="31"/>
        <v>6</v>
      </c>
    </row>
    <row r="1873" spans="2:11" x14ac:dyDescent="0.35">
      <c r="B1873" t="s">
        <v>1869</v>
      </c>
      <c r="C1873">
        <v>14</v>
      </c>
      <c r="D1873">
        <v>0</v>
      </c>
      <c r="E1873">
        <v>0</v>
      </c>
      <c r="F1873">
        <v>0</v>
      </c>
      <c r="G1873">
        <v>2</v>
      </c>
      <c r="H1873">
        <v>0</v>
      </c>
      <c r="I1873">
        <v>7</v>
      </c>
      <c r="J1873">
        <v>6</v>
      </c>
      <c r="K1873">
        <f t="shared" si="31"/>
        <v>2</v>
      </c>
    </row>
    <row r="1874" spans="2:11" x14ac:dyDescent="0.35">
      <c r="B1874" t="s">
        <v>1870</v>
      </c>
      <c r="C1874">
        <v>51</v>
      </c>
      <c r="D1874">
        <v>1</v>
      </c>
      <c r="E1874">
        <v>0</v>
      </c>
      <c r="F1874">
        <v>0</v>
      </c>
      <c r="G1874">
        <v>5</v>
      </c>
      <c r="H1874">
        <v>2</v>
      </c>
      <c r="I1874">
        <v>10</v>
      </c>
      <c r="J1874">
        <v>34</v>
      </c>
      <c r="K1874">
        <f t="shared" si="31"/>
        <v>4</v>
      </c>
    </row>
    <row r="1875" spans="2:11" x14ac:dyDescent="0.35">
      <c r="B1875" t="s">
        <v>1871</v>
      </c>
      <c r="C1875">
        <v>42</v>
      </c>
      <c r="D1875">
        <v>1</v>
      </c>
      <c r="E1875">
        <v>0</v>
      </c>
      <c r="F1875">
        <v>0</v>
      </c>
      <c r="G1875">
        <v>4</v>
      </c>
      <c r="H1875">
        <v>6</v>
      </c>
      <c r="I1875">
        <v>19</v>
      </c>
      <c r="J1875">
        <v>13</v>
      </c>
      <c r="K1875">
        <f t="shared" si="31"/>
        <v>4</v>
      </c>
    </row>
    <row r="1876" spans="2:11" x14ac:dyDescent="0.35">
      <c r="B1876" t="s">
        <v>1872</v>
      </c>
      <c r="C1876">
        <v>15</v>
      </c>
      <c r="D1876">
        <v>4</v>
      </c>
      <c r="E1876">
        <v>0</v>
      </c>
      <c r="F1876">
        <v>0</v>
      </c>
      <c r="G1876">
        <v>0</v>
      </c>
      <c r="H1876">
        <v>0</v>
      </c>
      <c r="I1876">
        <v>10</v>
      </c>
      <c r="J1876">
        <v>2</v>
      </c>
      <c r="K1876">
        <f t="shared" si="31"/>
        <v>2</v>
      </c>
    </row>
    <row r="1877" spans="2:11" x14ac:dyDescent="0.35">
      <c r="B1877" t="s">
        <v>1873</v>
      </c>
      <c r="C1877">
        <v>28</v>
      </c>
      <c r="D1877">
        <v>0</v>
      </c>
      <c r="E1877">
        <v>0</v>
      </c>
      <c r="F1877">
        <v>0</v>
      </c>
      <c r="G1877">
        <v>1</v>
      </c>
      <c r="H1877">
        <v>3</v>
      </c>
      <c r="I1877">
        <v>22</v>
      </c>
      <c r="J1877">
        <v>3</v>
      </c>
      <c r="K1877">
        <f t="shared" si="31"/>
        <v>3</v>
      </c>
    </row>
    <row r="1878" spans="2:11" x14ac:dyDescent="0.35">
      <c r="B1878" t="s">
        <v>1874</v>
      </c>
      <c r="C1878">
        <v>111</v>
      </c>
      <c r="D1878">
        <v>5</v>
      </c>
      <c r="E1878">
        <v>1</v>
      </c>
      <c r="F1878">
        <v>0</v>
      </c>
      <c r="G1878">
        <v>13</v>
      </c>
      <c r="H1878">
        <v>13</v>
      </c>
      <c r="I1878">
        <v>38</v>
      </c>
      <c r="J1878">
        <v>42</v>
      </c>
      <c r="K1878">
        <f t="shared" si="31"/>
        <v>5</v>
      </c>
    </row>
    <row r="1879" spans="2:11" x14ac:dyDescent="0.35">
      <c r="B1879" t="s">
        <v>1875</v>
      </c>
      <c r="C1879">
        <v>12</v>
      </c>
      <c r="D1879">
        <v>1</v>
      </c>
      <c r="E1879">
        <v>0</v>
      </c>
      <c r="F1879">
        <v>0</v>
      </c>
      <c r="G1879">
        <v>0</v>
      </c>
      <c r="H1879">
        <v>7</v>
      </c>
      <c r="I1879">
        <v>3</v>
      </c>
      <c r="J1879">
        <v>2</v>
      </c>
      <c r="K1879">
        <f t="shared" si="31"/>
        <v>3</v>
      </c>
    </row>
    <row r="1880" spans="2:11" x14ac:dyDescent="0.35">
      <c r="B1880" t="s">
        <v>1876</v>
      </c>
      <c r="C1880">
        <v>14</v>
      </c>
      <c r="D1880">
        <v>1</v>
      </c>
      <c r="E1880">
        <v>0</v>
      </c>
      <c r="F1880">
        <v>0</v>
      </c>
      <c r="G1880">
        <v>0</v>
      </c>
      <c r="H1880">
        <v>6</v>
      </c>
      <c r="I1880">
        <v>6</v>
      </c>
      <c r="J1880">
        <v>2</v>
      </c>
      <c r="K1880">
        <f t="shared" si="31"/>
        <v>3</v>
      </c>
    </row>
    <row r="1881" spans="2:11" x14ac:dyDescent="0.35">
      <c r="B1881" t="s">
        <v>1877</v>
      </c>
      <c r="C1881">
        <v>14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9</v>
      </c>
      <c r="J1881">
        <v>6</v>
      </c>
      <c r="K1881">
        <f t="shared" si="31"/>
        <v>1</v>
      </c>
    </row>
    <row r="1882" spans="2:11" x14ac:dyDescent="0.35">
      <c r="B1882" t="s">
        <v>1878</v>
      </c>
      <c r="C1882">
        <v>42</v>
      </c>
      <c r="D1882">
        <v>2</v>
      </c>
      <c r="E1882">
        <v>0</v>
      </c>
      <c r="F1882">
        <v>1</v>
      </c>
      <c r="G1882">
        <v>0</v>
      </c>
      <c r="H1882">
        <v>2</v>
      </c>
      <c r="I1882">
        <v>16</v>
      </c>
      <c r="J1882">
        <v>22</v>
      </c>
      <c r="K1882">
        <f t="shared" si="31"/>
        <v>4</v>
      </c>
    </row>
    <row r="1883" spans="2:11" x14ac:dyDescent="0.35">
      <c r="B1883" t="s">
        <v>1879</v>
      </c>
      <c r="C1883">
        <v>8</v>
      </c>
      <c r="D1883">
        <v>3</v>
      </c>
      <c r="E1883">
        <v>0</v>
      </c>
      <c r="F1883">
        <v>0</v>
      </c>
      <c r="G1883">
        <v>0</v>
      </c>
      <c r="H1883">
        <v>0</v>
      </c>
      <c r="I1883">
        <v>2</v>
      </c>
      <c r="J1883">
        <v>4</v>
      </c>
      <c r="K1883">
        <f t="shared" si="31"/>
        <v>2</v>
      </c>
    </row>
    <row r="1884" spans="2:11" x14ac:dyDescent="0.35">
      <c r="B1884" t="s">
        <v>1880</v>
      </c>
      <c r="C1884">
        <v>96</v>
      </c>
      <c r="D1884">
        <v>0</v>
      </c>
      <c r="E1884">
        <v>0</v>
      </c>
      <c r="F1884">
        <v>0</v>
      </c>
      <c r="G1884">
        <v>8</v>
      </c>
      <c r="H1884">
        <v>32</v>
      </c>
      <c r="I1884">
        <v>7</v>
      </c>
      <c r="J1884">
        <v>50</v>
      </c>
      <c r="K1884">
        <f t="shared" si="31"/>
        <v>3</v>
      </c>
    </row>
    <row r="1885" spans="2:11" x14ac:dyDescent="0.35">
      <c r="B1885" t="s">
        <v>1881</v>
      </c>
      <c r="C1885">
        <v>35</v>
      </c>
      <c r="D1885">
        <v>2</v>
      </c>
      <c r="E1885">
        <v>0</v>
      </c>
      <c r="F1885">
        <v>1</v>
      </c>
      <c r="G1885">
        <v>0</v>
      </c>
      <c r="H1885">
        <v>3</v>
      </c>
      <c r="I1885">
        <v>18</v>
      </c>
      <c r="J1885">
        <v>12</v>
      </c>
      <c r="K1885">
        <f t="shared" si="31"/>
        <v>4</v>
      </c>
    </row>
    <row r="1886" spans="2:11" x14ac:dyDescent="0.35">
      <c r="B1886" t="s">
        <v>1882</v>
      </c>
      <c r="C1886">
        <v>32</v>
      </c>
      <c r="D1886">
        <v>4</v>
      </c>
      <c r="E1886">
        <v>0</v>
      </c>
      <c r="F1886">
        <v>0</v>
      </c>
      <c r="G1886">
        <v>2</v>
      </c>
      <c r="H1886">
        <v>12</v>
      </c>
      <c r="I1886">
        <v>6</v>
      </c>
      <c r="J1886">
        <v>9</v>
      </c>
      <c r="K1886">
        <f t="shared" si="31"/>
        <v>4</v>
      </c>
    </row>
    <row r="1887" spans="2:11" x14ac:dyDescent="0.35">
      <c r="B1887" t="s">
        <v>1883</v>
      </c>
      <c r="C1887">
        <v>50</v>
      </c>
      <c r="D1887">
        <v>1</v>
      </c>
      <c r="E1887">
        <v>0</v>
      </c>
      <c r="F1887">
        <v>1</v>
      </c>
      <c r="G1887">
        <v>3</v>
      </c>
      <c r="H1887">
        <v>2</v>
      </c>
      <c r="I1887">
        <v>25</v>
      </c>
      <c r="J1887">
        <v>19</v>
      </c>
      <c r="K1887">
        <f t="shared" si="31"/>
        <v>5</v>
      </c>
    </row>
    <row r="1888" spans="2:11" x14ac:dyDescent="0.35">
      <c r="B1888" t="s">
        <v>1884</v>
      </c>
      <c r="C1888">
        <v>36</v>
      </c>
      <c r="D1888">
        <v>0</v>
      </c>
      <c r="E1888">
        <v>0</v>
      </c>
      <c r="F1888">
        <v>0</v>
      </c>
      <c r="G1888">
        <v>2</v>
      </c>
      <c r="H1888">
        <v>9</v>
      </c>
      <c r="I1888">
        <v>13</v>
      </c>
      <c r="J1888">
        <v>13</v>
      </c>
      <c r="K1888">
        <f t="shared" si="31"/>
        <v>3</v>
      </c>
    </row>
    <row r="1889" spans="2:11" x14ac:dyDescent="0.35">
      <c r="B1889" t="s">
        <v>1885</v>
      </c>
      <c r="C1889">
        <v>15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3</v>
      </c>
      <c r="J1889">
        <v>13</v>
      </c>
      <c r="K1889">
        <f t="shared" si="31"/>
        <v>1</v>
      </c>
    </row>
    <row r="1890" spans="2:11" x14ac:dyDescent="0.35">
      <c r="B1890" t="s">
        <v>1886</v>
      </c>
      <c r="C1890">
        <v>26</v>
      </c>
      <c r="D1890">
        <v>4</v>
      </c>
      <c r="E1890">
        <v>0</v>
      </c>
      <c r="F1890">
        <v>1</v>
      </c>
      <c r="G1890">
        <v>0</v>
      </c>
      <c r="H1890">
        <v>1</v>
      </c>
      <c r="I1890">
        <v>6</v>
      </c>
      <c r="J1890">
        <v>15</v>
      </c>
      <c r="K1890">
        <f t="shared" si="31"/>
        <v>4</v>
      </c>
    </row>
    <row r="1891" spans="2:11" x14ac:dyDescent="0.35">
      <c r="B1891" t="s">
        <v>1887</v>
      </c>
      <c r="C1891">
        <v>13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9</v>
      </c>
      <c r="J1891">
        <v>4</v>
      </c>
      <c r="K1891">
        <f t="shared" si="31"/>
        <v>2</v>
      </c>
    </row>
    <row r="1892" spans="2:11" x14ac:dyDescent="0.35">
      <c r="B1892" t="s">
        <v>1888</v>
      </c>
      <c r="C1892">
        <v>13</v>
      </c>
      <c r="D1892">
        <v>0</v>
      </c>
      <c r="E1892">
        <v>0</v>
      </c>
      <c r="F1892">
        <v>0</v>
      </c>
      <c r="G1892">
        <v>0</v>
      </c>
      <c r="H1892">
        <v>1</v>
      </c>
      <c r="I1892">
        <v>9</v>
      </c>
      <c r="J1892">
        <v>4</v>
      </c>
      <c r="K1892">
        <f t="shared" si="31"/>
        <v>2</v>
      </c>
    </row>
    <row r="1893" spans="2:11" x14ac:dyDescent="0.35">
      <c r="B1893" t="s">
        <v>1889</v>
      </c>
      <c r="C1893">
        <v>26</v>
      </c>
      <c r="D1893">
        <v>4</v>
      </c>
      <c r="E1893">
        <v>0</v>
      </c>
      <c r="F1893">
        <v>1</v>
      </c>
      <c r="G1893">
        <v>0</v>
      </c>
      <c r="H1893">
        <v>1</v>
      </c>
      <c r="I1893">
        <v>6</v>
      </c>
      <c r="J1893">
        <v>15</v>
      </c>
      <c r="K1893">
        <f t="shared" si="31"/>
        <v>4</v>
      </c>
    </row>
    <row r="1894" spans="2:11" x14ac:dyDescent="0.35">
      <c r="B1894" t="s">
        <v>1890</v>
      </c>
      <c r="C1894">
        <v>26</v>
      </c>
      <c r="D1894">
        <v>4</v>
      </c>
      <c r="E1894">
        <v>0</v>
      </c>
      <c r="F1894">
        <v>1</v>
      </c>
      <c r="G1894">
        <v>0</v>
      </c>
      <c r="H1894">
        <v>1</v>
      </c>
      <c r="I1894">
        <v>6</v>
      </c>
      <c r="J1894">
        <v>15</v>
      </c>
      <c r="K1894">
        <f t="shared" si="31"/>
        <v>4</v>
      </c>
    </row>
    <row r="1895" spans="2:11" x14ac:dyDescent="0.35">
      <c r="B1895" t="s">
        <v>1891</v>
      </c>
      <c r="C1895">
        <v>26</v>
      </c>
      <c r="D1895">
        <v>4</v>
      </c>
      <c r="E1895">
        <v>0</v>
      </c>
      <c r="F1895">
        <v>1</v>
      </c>
      <c r="G1895">
        <v>0</v>
      </c>
      <c r="H1895">
        <v>1</v>
      </c>
      <c r="I1895">
        <v>6</v>
      </c>
      <c r="J1895">
        <v>15</v>
      </c>
      <c r="K1895">
        <f t="shared" si="31"/>
        <v>4</v>
      </c>
    </row>
    <row r="1896" spans="2:11" x14ac:dyDescent="0.35">
      <c r="B1896" t="s">
        <v>1892</v>
      </c>
      <c r="C1896">
        <v>13</v>
      </c>
      <c r="D1896">
        <v>0</v>
      </c>
      <c r="E1896">
        <v>0</v>
      </c>
      <c r="F1896">
        <v>0</v>
      </c>
      <c r="G1896">
        <v>0</v>
      </c>
      <c r="H1896">
        <v>1</v>
      </c>
      <c r="I1896">
        <v>9</v>
      </c>
      <c r="J1896">
        <v>4</v>
      </c>
      <c r="K1896">
        <f t="shared" si="31"/>
        <v>2</v>
      </c>
    </row>
    <row r="1897" spans="2:11" x14ac:dyDescent="0.35">
      <c r="B1897" t="s">
        <v>1893</v>
      </c>
      <c r="C1897">
        <v>13</v>
      </c>
      <c r="D1897">
        <v>0</v>
      </c>
      <c r="E1897">
        <v>0</v>
      </c>
      <c r="F1897">
        <v>0</v>
      </c>
      <c r="G1897">
        <v>0</v>
      </c>
      <c r="H1897">
        <v>1</v>
      </c>
      <c r="I1897">
        <v>9</v>
      </c>
      <c r="J1897">
        <v>4</v>
      </c>
      <c r="K1897">
        <f t="shared" si="31"/>
        <v>2</v>
      </c>
    </row>
    <row r="1898" spans="2:11" x14ac:dyDescent="0.35">
      <c r="B1898" t="s">
        <v>1894</v>
      </c>
      <c r="C1898">
        <v>9</v>
      </c>
      <c r="D1898">
        <v>0</v>
      </c>
      <c r="E1898">
        <v>0</v>
      </c>
      <c r="F1898">
        <v>0</v>
      </c>
      <c r="G1898">
        <v>0</v>
      </c>
      <c r="H1898">
        <v>1</v>
      </c>
      <c r="I1898">
        <v>6</v>
      </c>
      <c r="J1898">
        <v>3</v>
      </c>
      <c r="K1898">
        <f t="shared" si="31"/>
        <v>2</v>
      </c>
    </row>
    <row r="1899" spans="2:11" x14ac:dyDescent="0.35">
      <c r="B1899" t="s">
        <v>1895</v>
      </c>
      <c r="C1899">
        <v>13</v>
      </c>
      <c r="D1899">
        <v>0</v>
      </c>
      <c r="E1899">
        <v>0</v>
      </c>
      <c r="F1899">
        <v>0</v>
      </c>
      <c r="G1899">
        <v>0</v>
      </c>
      <c r="H1899">
        <v>1</v>
      </c>
      <c r="I1899">
        <v>9</v>
      </c>
      <c r="J1899">
        <v>4</v>
      </c>
      <c r="K1899">
        <f t="shared" si="31"/>
        <v>2</v>
      </c>
    </row>
    <row r="1900" spans="2:11" x14ac:dyDescent="0.35">
      <c r="B1900" t="s">
        <v>1896</v>
      </c>
      <c r="C1900">
        <v>13</v>
      </c>
      <c r="D1900">
        <v>0</v>
      </c>
      <c r="E1900">
        <v>0</v>
      </c>
      <c r="F1900">
        <v>0</v>
      </c>
      <c r="G1900">
        <v>0</v>
      </c>
      <c r="H1900">
        <v>1</v>
      </c>
      <c r="I1900">
        <v>9</v>
      </c>
      <c r="J1900">
        <v>4</v>
      </c>
      <c r="K1900">
        <f t="shared" si="31"/>
        <v>2</v>
      </c>
    </row>
    <row r="1901" spans="2:11" x14ac:dyDescent="0.35">
      <c r="B1901" t="s">
        <v>1897</v>
      </c>
      <c r="C1901">
        <v>26</v>
      </c>
      <c r="D1901">
        <v>4</v>
      </c>
      <c r="E1901">
        <v>0</v>
      </c>
      <c r="F1901">
        <v>1</v>
      </c>
      <c r="G1901">
        <v>0</v>
      </c>
      <c r="H1901">
        <v>1</v>
      </c>
      <c r="I1901">
        <v>6</v>
      </c>
      <c r="J1901">
        <v>15</v>
      </c>
      <c r="K1901">
        <f t="shared" si="31"/>
        <v>4</v>
      </c>
    </row>
    <row r="1902" spans="2:11" x14ac:dyDescent="0.35">
      <c r="B1902" t="s">
        <v>1898</v>
      </c>
      <c r="C1902">
        <v>13</v>
      </c>
      <c r="D1902">
        <v>0</v>
      </c>
      <c r="E1902">
        <v>0</v>
      </c>
      <c r="F1902">
        <v>0</v>
      </c>
      <c r="G1902">
        <v>0</v>
      </c>
      <c r="H1902">
        <v>1</v>
      </c>
      <c r="I1902">
        <v>9</v>
      </c>
      <c r="J1902">
        <v>4</v>
      </c>
      <c r="K1902">
        <f t="shared" si="31"/>
        <v>2</v>
      </c>
    </row>
    <row r="1903" spans="2:11" x14ac:dyDescent="0.35">
      <c r="B1903" t="s">
        <v>1899</v>
      </c>
      <c r="C1903">
        <v>26</v>
      </c>
      <c r="D1903">
        <v>4</v>
      </c>
      <c r="E1903">
        <v>0</v>
      </c>
      <c r="F1903">
        <v>1</v>
      </c>
      <c r="G1903">
        <v>0</v>
      </c>
      <c r="H1903">
        <v>1</v>
      </c>
      <c r="I1903">
        <v>6</v>
      </c>
      <c r="J1903">
        <v>15</v>
      </c>
      <c r="K1903">
        <f t="shared" si="31"/>
        <v>4</v>
      </c>
    </row>
    <row r="1904" spans="2:11" x14ac:dyDescent="0.35">
      <c r="B1904" t="s">
        <v>1900</v>
      </c>
      <c r="C1904">
        <v>26</v>
      </c>
      <c r="D1904">
        <v>4</v>
      </c>
      <c r="E1904">
        <v>0</v>
      </c>
      <c r="F1904">
        <v>1</v>
      </c>
      <c r="G1904">
        <v>0</v>
      </c>
      <c r="H1904">
        <v>1</v>
      </c>
      <c r="I1904">
        <v>6</v>
      </c>
      <c r="J1904">
        <v>15</v>
      </c>
      <c r="K1904">
        <f t="shared" si="31"/>
        <v>4</v>
      </c>
    </row>
    <row r="1905" spans="2:11" x14ac:dyDescent="0.35">
      <c r="B1905" t="s">
        <v>1901</v>
      </c>
      <c r="C1905">
        <v>36</v>
      </c>
      <c r="D1905">
        <v>6</v>
      </c>
      <c r="E1905">
        <v>5</v>
      </c>
      <c r="F1905">
        <v>0</v>
      </c>
      <c r="G1905">
        <v>3</v>
      </c>
      <c r="H1905">
        <v>1</v>
      </c>
      <c r="I1905">
        <v>2</v>
      </c>
      <c r="J1905">
        <v>20</v>
      </c>
      <c r="K1905">
        <f t="shared" si="31"/>
        <v>5</v>
      </c>
    </row>
    <row r="1906" spans="2:11" x14ac:dyDescent="0.35">
      <c r="B1906" t="s">
        <v>1902</v>
      </c>
      <c r="C1906">
        <v>66</v>
      </c>
      <c r="D1906">
        <v>3</v>
      </c>
      <c r="E1906">
        <v>1</v>
      </c>
      <c r="F1906">
        <v>3</v>
      </c>
      <c r="G1906">
        <v>13</v>
      </c>
      <c r="H1906">
        <v>8</v>
      </c>
      <c r="I1906">
        <v>12</v>
      </c>
      <c r="J1906">
        <v>27</v>
      </c>
      <c r="K1906">
        <f t="shared" si="31"/>
        <v>6</v>
      </c>
    </row>
    <row r="1907" spans="2:11" x14ac:dyDescent="0.35">
      <c r="B1907" t="s">
        <v>1903</v>
      </c>
      <c r="C1907">
        <v>41</v>
      </c>
      <c r="D1907">
        <v>2</v>
      </c>
      <c r="E1907">
        <v>1</v>
      </c>
      <c r="F1907">
        <v>1</v>
      </c>
      <c r="G1907">
        <v>0</v>
      </c>
      <c r="H1907">
        <v>2</v>
      </c>
      <c r="I1907">
        <v>4</v>
      </c>
      <c r="J1907">
        <v>32</v>
      </c>
      <c r="K1907">
        <f t="shared" si="31"/>
        <v>5</v>
      </c>
    </row>
    <row r="1908" spans="2:11" x14ac:dyDescent="0.35">
      <c r="B1908" t="s">
        <v>1904</v>
      </c>
      <c r="C1908">
        <v>11</v>
      </c>
      <c r="D1908">
        <v>0</v>
      </c>
      <c r="E1908">
        <v>0</v>
      </c>
      <c r="F1908">
        <v>0</v>
      </c>
      <c r="G1908">
        <v>0</v>
      </c>
      <c r="H1908">
        <v>1</v>
      </c>
      <c r="I1908">
        <v>1</v>
      </c>
      <c r="J1908">
        <v>10</v>
      </c>
      <c r="K1908">
        <f t="shared" si="31"/>
        <v>2</v>
      </c>
    </row>
    <row r="1909" spans="2:11" x14ac:dyDescent="0.35">
      <c r="B1909" t="s">
        <v>1905</v>
      </c>
      <c r="C1909">
        <v>12</v>
      </c>
      <c r="D1909">
        <v>1</v>
      </c>
      <c r="E1909">
        <v>0</v>
      </c>
      <c r="F1909">
        <v>0</v>
      </c>
      <c r="G1909">
        <v>0</v>
      </c>
      <c r="H1909">
        <v>1</v>
      </c>
      <c r="I1909">
        <v>1</v>
      </c>
      <c r="J1909">
        <v>10</v>
      </c>
      <c r="K1909">
        <f t="shared" si="31"/>
        <v>3</v>
      </c>
    </row>
    <row r="1910" spans="2:11" x14ac:dyDescent="0.35">
      <c r="B1910" t="s">
        <v>1906</v>
      </c>
      <c r="C1910">
        <v>30</v>
      </c>
      <c r="D1910">
        <v>4</v>
      </c>
      <c r="E1910">
        <v>0</v>
      </c>
      <c r="F1910">
        <v>0</v>
      </c>
      <c r="G1910">
        <v>2</v>
      </c>
      <c r="H1910">
        <v>12</v>
      </c>
      <c r="I1910">
        <v>10</v>
      </c>
      <c r="J1910">
        <v>3</v>
      </c>
      <c r="K1910">
        <f t="shared" si="31"/>
        <v>4</v>
      </c>
    </row>
    <row r="1911" spans="2:11" x14ac:dyDescent="0.35">
      <c r="B1911" t="s">
        <v>1907</v>
      </c>
      <c r="C1911">
        <v>15</v>
      </c>
      <c r="D1911">
        <v>1</v>
      </c>
      <c r="E1911">
        <v>0</v>
      </c>
      <c r="F1911">
        <v>1</v>
      </c>
      <c r="G1911">
        <v>0</v>
      </c>
      <c r="H1911">
        <v>6</v>
      </c>
      <c r="I1911">
        <v>6</v>
      </c>
      <c r="J1911">
        <v>2</v>
      </c>
      <c r="K1911">
        <f t="shared" si="31"/>
        <v>4</v>
      </c>
    </row>
    <row r="1912" spans="2:11" x14ac:dyDescent="0.35">
      <c r="B1912" t="s">
        <v>1908</v>
      </c>
      <c r="C1912">
        <v>15</v>
      </c>
      <c r="D1912">
        <v>1</v>
      </c>
      <c r="E1912">
        <v>0</v>
      </c>
      <c r="F1912">
        <v>1</v>
      </c>
      <c r="G1912">
        <v>0</v>
      </c>
      <c r="H1912">
        <v>6</v>
      </c>
      <c r="I1912">
        <v>6</v>
      </c>
      <c r="J1912">
        <v>2</v>
      </c>
      <c r="K1912">
        <f t="shared" si="31"/>
        <v>4</v>
      </c>
    </row>
    <row r="1913" spans="2:11" x14ac:dyDescent="0.35">
      <c r="B1913" t="s">
        <v>1909</v>
      </c>
      <c r="C1913">
        <v>23</v>
      </c>
      <c r="D1913">
        <v>1</v>
      </c>
      <c r="E1913">
        <v>0</v>
      </c>
      <c r="F1913">
        <v>0</v>
      </c>
      <c r="G1913">
        <v>0</v>
      </c>
      <c r="H1913">
        <v>0</v>
      </c>
      <c r="I1913">
        <v>15</v>
      </c>
      <c r="J1913">
        <v>8</v>
      </c>
      <c r="K1913">
        <f t="shared" si="31"/>
        <v>2</v>
      </c>
    </row>
    <row r="1914" spans="2:11" x14ac:dyDescent="0.35">
      <c r="B1914" t="s">
        <v>1910</v>
      </c>
      <c r="C1914">
        <v>33</v>
      </c>
      <c r="D1914">
        <v>1</v>
      </c>
      <c r="E1914">
        <v>0</v>
      </c>
      <c r="F1914">
        <v>0</v>
      </c>
      <c r="G1914">
        <v>1</v>
      </c>
      <c r="H1914">
        <v>4</v>
      </c>
      <c r="I1914">
        <v>15</v>
      </c>
      <c r="J1914">
        <v>13</v>
      </c>
      <c r="K1914">
        <f t="shared" si="31"/>
        <v>4</v>
      </c>
    </row>
    <row r="1915" spans="2:11" x14ac:dyDescent="0.35">
      <c r="B1915" t="s">
        <v>1911</v>
      </c>
      <c r="C1915">
        <v>117</v>
      </c>
      <c r="D1915">
        <v>6</v>
      </c>
      <c r="E1915">
        <v>0</v>
      </c>
      <c r="F1915">
        <v>2</v>
      </c>
      <c r="G1915">
        <v>21</v>
      </c>
      <c r="H1915">
        <v>7</v>
      </c>
      <c r="I1915">
        <v>39</v>
      </c>
      <c r="J1915">
        <v>43</v>
      </c>
      <c r="K1915">
        <f t="shared" si="31"/>
        <v>5</v>
      </c>
    </row>
    <row r="1916" spans="2:11" x14ac:dyDescent="0.35">
      <c r="B1916" t="s">
        <v>1912</v>
      </c>
      <c r="C1916">
        <v>21</v>
      </c>
      <c r="D1916">
        <v>0</v>
      </c>
      <c r="E1916">
        <v>0</v>
      </c>
      <c r="F1916">
        <v>2</v>
      </c>
      <c r="G1916">
        <v>0</v>
      </c>
      <c r="H1916">
        <v>2</v>
      </c>
      <c r="I1916">
        <v>8</v>
      </c>
      <c r="J1916">
        <v>10</v>
      </c>
      <c r="K1916">
        <f t="shared" si="31"/>
        <v>3</v>
      </c>
    </row>
    <row r="1917" spans="2:11" x14ac:dyDescent="0.35">
      <c r="B1917" t="s">
        <v>1913</v>
      </c>
      <c r="C1917">
        <v>3</v>
      </c>
      <c r="D1917">
        <v>1</v>
      </c>
      <c r="E1917">
        <v>0</v>
      </c>
      <c r="F1917">
        <v>0</v>
      </c>
      <c r="G1917">
        <v>0</v>
      </c>
      <c r="H1917">
        <v>1</v>
      </c>
      <c r="I1917">
        <v>1</v>
      </c>
      <c r="J1917">
        <v>1</v>
      </c>
      <c r="K1917">
        <f t="shared" si="31"/>
        <v>3</v>
      </c>
    </row>
    <row r="1918" spans="2:11" x14ac:dyDescent="0.35">
      <c r="B1918" t="s">
        <v>1914</v>
      </c>
      <c r="C1918">
        <v>7</v>
      </c>
      <c r="D1918">
        <v>1</v>
      </c>
      <c r="E1918">
        <v>0</v>
      </c>
      <c r="F1918">
        <v>0</v>
      </c>
      <c r="G1918">
        <v>0</v>
      </c>
      <c r="H1918">
        <v>2</v>
      </c>
      <c r="I1918">
        <v>4</v>
      </c>
      <c r="J1918">
        <v>1</v>
      </c>
      <c r="K1918">
        <f t="shared" si="31"/>
        <v>3</v>
      </c>
    </row>
    <row r="1919" spans="2:11" x14ac:dyDescent="0.35">
      <c r="B1919" t="s">
        <v>1915</v>
      </c>
      <c r="C1919">
        <v>3</v>
      </c>
      <c r="D1919">
        <v>1</v>
      </c>
      <c r="E1919">
        <v>0</v>
      </c>
      <c r="F1919">
        <v>0</v>
      </c>
      <c r="G1919">
        <v>0</v>
      </c>
      <c r="H1919">
        <v>1</v>
      </c>
      <c r="I1919">
        <v>1</v>
      </c>
      <c r="J1919">
        <v>1</v>
      </c>
      <c r="K1919">
        <f t="shared" si="31"/>
        <v>3</v>
      </c>
    </row>
    <row r="1920" spans="2:11" x14ac:dyDescent="0.35">
      <c r="B1920" t="s">
        <v>1916</v>
      </c>
      <c r="C1920">
        <v>3</v>
      </c>
      <c r="D1920">
        <v>1</v>
      </c>
      <c r="E1920">
        <v>0</v>
      </c>
      <c r="F1920">
        <v>0</v>
      </c>
      <c r="G1920">
        <v>0</v>
      </c>
      <c r="H1920">
        <v>1</v>
      </c>
      <c r="I1920">
        <v>1</v>
      </c>
      <c r="J1920">
        <v>1</v>
      </c>
      <c r="K1920">
        <f t="shared" si="31"/>
        <v>3</v>
      </c>
    </row>
    <row r="1921" spans="2:11" x14ac:dyDescent="0.35">
      <c r="B1921" t="s">
        <v>1917</v>
      </c>
      <c r="C1921">
        <v>3</v>
      </c>
      <c r="D1921">
        <v>1</v>
      </c>
      <c r="E1921">
        <v>0</v>
      </c>
      <c r="F1921">
        <v>0</v>
      </c>
      <c r="G1921">
        <v>0</v>
      </c>
      <c r="H1921">
        <v>1</v>
      </c>
      <c r="I1921">
        <v>1</v>
      </c>
      <c r="J1921">
        <v>1</v>
      </c>
      <c r="K1921">
        <f t="shared" si="31"/>
        <v>3</v>
      </c>
    </row>
    <row r="1922" spans="2:11" x14ac:dyDescent="0.35">
      <c r="B1922" t="s">
        <v>1918</v>
      </c>
      <c r="C1922">
        <v>9</v>
      </c>
      <c r="D1922">
        <v>2</v>
      </c>
      <c r="E1922">
        <v>0</v>
      </c>
      <c r="F1922">
        <v>0</v>
      </c>
      <c r="G1922">
        <v>0</v>
      </c>
      <c r="H1922">
        <v>2</v>
      </c>
      <c r="I1922">
        <v>3</v>
      </c>
      <c r="J1922">
        <v>3</v>
      </c>
      <c r="K1922">
        <f t="shared" si="31"/>
        <v>3</v>
      </c>
    </row>
    <row r="1923" spans="2:11" x14ac:dyDescent="0.35">
      <c r="B1923" t="s">
        <v>1919</v>
      </c>
      <c r="C1923">
        <v>3</v>
      </c>
      <c r="D1923">
        <v>1</v>
      </c>
      <c r="E1923">
        <v>0</v>
      </c>
      <c r="F1923">
        <v>0</v>
      </c>
      <c r="G1923">
        <v>0</v>
      </c>
      <c r="H1923">
        <v>1</v>
      </c>
      <c r="I1923">
        <v>1</v>
      </c>
      <c r="J1923">
        <v>1</v>
      </c>
      <c r="K1923">
        <f t="shared" si="31"/>
        <v>3</v>
      </c>
    </row>
    <row r="1924" spans="2:11" x14ac:dyDescent="0.35">
      <c r="B1924" t="s">
        <v>1920</v>
      </c>
      <c r="C1924">
        <v>3</v>
      </c>
      <c r="D1924">
        <v>1</v>
      </c>
      <c r="E1924">
        <v>0</v>
      </c>
      <c r="F1924">
        <v>0</v>
      </c>
      <c r="G1924">
        <v>0</v>
      </c>
      <c r="H1924">
        <v>1</v>
      </c>
      <c r="I1924">
        <v>1</v>
      </c>
      <c r="J1924">
        <v>1</v>
      </c>
      <c r="K1924">
        <f t="shared" si="31"/>
        <v>3</v>
      </c>
    </row>
    <row r="1925" spans="2:11" x14ac:dyDescent="0.35">
      <c r="B1925" t="s">
        <v>1921</v>
      </c>
      <c r="C1925">
        <v>3</v>
      </c>
      <c r="D1925">
        <v>1</v>
      </c>
      <c r="E1925">
        <v>0</v>
      </c>
      <c r="F1925">
        <v>0</v>
      </c>
      <c r="G1925">
        <v>0</v>
      </c>
      <c r="H1925">
        <v>1</v>
      </c>
      <c r="I1925">
        <v>1</v>
      </c>
      <c r="J1925">
        <v>1</v>
      </c>
      <c r="K1925">
        <f t="shared" si="31"/>
        <v>3</v>
      </c>
    </row>
    <row r="1926" spans="2:11" x14ac:dyDescent="0.35">
      <c r="B1926" t="s">
        <v>1922</v>
      </c>
      <c r="C1926">
        <v>3</v>
      </c>
      <c r="D1926">
        <v>1</v>
      </c>
      <c r="E1926">
        <v>0</v>
      </c>
      <c r="F1926">
        <v>0</v>
      </c>
      <c r="G1926">
        <v>0</v>
      </c>
      <c r="H1926">
        <v>1</v>
      </c>
      <c r="I1926">
        <v>1</v>
      </c>
      <c r="J1926">
        <v>1</v>
      </c>
      <c r="K1926">
        <f t="shared" si="31"/>
        <v>3</v>
      </c>
    </row>
    <row r="1927" spans="2:11" x14ac:dyDescent="0.35">
      <c r="B1927" t="s">
        <v>1923</v>
      </c>
      <c r="C1927">
        <v>3</v>
      </c>
      <c r="D1927">
        <v>1</v>
      </c>
      <c r="E1927">
        <v>0</v>
      </c>
      <c r="F1927">
        <v>0</v>
      </c>
      <c r="G1927">
        <v>0</v>
      </c>
      <c r="H1927">
        <v>1</v>
      </c>
      <c r="I1927">
        <v>1</v>
      </c>
      <c r="J1927">
        <v>1</v>
      </c>
      <c r="K1927">
        <f t="shared" si="31"/>
        <v>3</v>
      </c>
    </row>
    <row r="1928" spans="2:11" x14ac:dyDescent="0.35">
      <c r="B1928" t="s">
        <v>1924</v>
      </c>
      <c r="C1928">
        <v>21</v>
      </c>
      <c r="D1928">
        <v>1</v>
      </c>
      <c r="E1928">
        <v>0</v>
      </c>
      <c r="F1928">
        <v>0</v>
      </c>
      <c r="G1928">
        <v>0</v>
      </c>
      <c r="H1928">
        <v>0</v>
      </c>
      <c r="I1928">
        <v>7</v>
      </c>
      <c r="J1928">
        <v>14</v>
      </c>
      <c r="K1928">
        <f t="shared" si="31"/>
        <v>2</v>
      </c>
    </row>
    <row r="1929" spans="2:11" x14ac:dyDescent="0.35">
      <c r="B1929" t="s">
        <v>1925</v>
      </c>
      <c r="C1929">
        <v>5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</v>
      </c>
      <c r="J1929">
        <v>1</v>
      </c>
      <c r="K1929">
        <f t="shared" si="31"/>
        <v>3</v>
      </c>
    </row>
    <row r="1930" spans="2:11" x14ac:dyDescent="0.35">
      <c r="B1930" t="s">
        <v>1926</v>
      </c>
      <c r="C1930">
        <v>24</v>
      </c>
      <c r="D1930">
        <v>3</v>
      </c>
      <c r="E1930">
        <v>0</v>
      </c>
      <c r="F1930">
        <v>0</v>
      </c>
      <c r="G1930">
        <v>9</v>
      </c>
      <c r="H1930">
        <v>2</v>
      </c>
      <c r="I1930">
        <v>6</v>
      </c>
      <c r="J1930">
        <v>5</v>
      </c>
      <c r="K1930">
        <f t="shared" si="31"/>
        <v>4</v>
      </c>
    </row>
    <row r="1931" spans="2:11" x14ac:dyDescent="0.35">
      <c r="B1931" t="s">
        <v>1927</v>
      </c>
      <c r="C1931">
        <v>19</v>
      </c>
      <c r="D1931">
        <v>2</v>
      </c>
      <c r="E1931">
        <v>0</v>
      </c>
      <c r="F1931">
        <v>0</v>
      </c>
      <c r="G1931">
        <v>3</v>
      </c>
      <c r="H1931">
        <v>1</v>
      </c>
      <c r="I1931">
        <v>9</v>
      </c>
      <c r="J1931">
        <v>5</v>
      </c>
      <c r="K1931">
        <f t="shared" si="31"/>
        <v>4</v>
      </c>
    </row>
    <row r="1932" spans="2:11" x14ac:dyDescent="0.35">
      <c r="B1932" t="s">
        <v>1928</v>
      </c>
      <c r="C1932">
        <v>31</v>
      </c>
      <c r="D1932">
        <v>2</v>
      </c>
      <c r="E1932">
        <v>0</v>
      </c>
      <c r="F1932">
        <v>0</v>
      </c>
      <c r="G1932">
        <v>0</v>
      </c>
      <c r="H1932">
        <v>7</v>
      </c>
      <c r="I1932">
        <v>12</v>
      </c>
      <c r="J1932">
        <v>11</v>
      </c>
      <c r="K1932">
        <f t="shared" ref="K1932:K1995" si="32">COUNTIF(D1932:I1932, "&gt;0")</f>
        <v>3</v>
      </c>
    </row>
    <row r="1933" spans="2:11" x14ac:dyDescent="0.35">
      <c r="B1933" t="s">
        <v>1929</v>
      </c>
      <c r="C1933">
        <v>33</v>
      </c>
      <c r="D1933">
        <v>7</v>
      </c>
      <c r="E1933">
        <v>0</v>
      </c>
      <c r="F1933">
        <v>1</v>
      </c>
      <c r="G1933">
        <v>2</v>
      </c>
      <c r="H1933">
        <v>2</v>
      </c>
      <c r="I1933">
        <v>4</v>
      </c>
      <c r="J1933">
        <v>18</v>
      </c>
      <c r="K1933">
        <f t="shared" si="32"/>
        <v>5</v>
      </c>
    </row>
    <row r="1934" spans="2:11" x14ac:dyDescent="0.35">
      <c r="B1934" t="s">
        <v>1930</v>
      </c>
      <c r="C1934">
        <v>9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7</v>
      </c>
      <c r="J1934">
        <v>3</v>
      </c>
      <c r="K1934">
        <f t="shared" si="32"/>
        <v>1</v>
      </c>
    </row>
    <row r="1935" spans="2:11" x14ac:dyDescent="0.35">
      <c r="B1935" t="s">
        <v>1931</v>
      </c>
      <c r="C1935">
        <v>11</v>
      </c>
      <c r="D1935">
        <v>5</v>
      </c>
      <c r="E1935">
        <v>0</v>
      </c>
      <c r="F1935">
        <v>0</v>
      </c>
      <c r="G1935">
        <v>0</v>
      </c>
      <c r="H1935">
        <v>0</v>
      </c>
      <c r="I1935">
        <v>1</v>
      </c>
      <c r="J1935">
        <v>6</v>
      </c>
      <c r="K1935">
        <f t="shared" si="32"/>
        <v>2</v>
      </c>
    </row>
    <row r="1936" spans="2:11" x14ac:dyDescent="0.35">
      <c r="B1936" t="s">
        <v>1932</v>
      </c>
      <c r="C1936">
        <v>16</v>
      </c>
      <c r="D1936">
        <v>1</v>
      </c>
      <c r="E1936">
        <v>0</v>
      </c>
      <c r="F1936">
        <v>0</v>
      </c>
      <c r="G1936">
        <v>0</v>
      </c>
      <c r="H1936">
        <v>1</v>
      </c>
      <c r="I1936">
        <v>2</v>
      </c>
      <c r="J1936">
        <v>13</v>
      </c>
      <c r="K1936">
        <f t="shared" si="32"/>
        <v>3</v>
      </c>
    </row>
    <row r="1937" spans="2:11" x14ac:dyDescent="0.35">
      <c r="B1937" t="s">
        <v>1933</v>
      </c>
      <c r="C1937">
        <v>26</v>
      </c>
      <c r="D1937">
        <v>4</v>
      </c>
      <c r="E1937">
        <v>0</v>
      </c>
      <c r="F1937">
        <v>1</v>
      </c>
      <c r="G1937">
        <v>0</v>
      </c>
      <c r="H1937">
        <v>1</v>
      </c>
      <c r="I1937">
        <v>6</v>
      </c>
      <c r="J1937">
        <v>15</v>
      </c>
      <c r="K1937">
        <f t="shared" si="32"/>
        <v>4</v>
      </c>
    </row>
    <row r="1938" spans="2:11" x14ac:dyDescent="0.35">
      <c r="B1938" t="s">
        <v>1934</v>
      </c>
      <c r="C1938">
        <v>87</v>
      </c>
      <c r="D1938">
        <v>2</v>
      </c>
      <c r="E1938">
        <v>0</v>
      </c>
      <c r="F1938">
        <v>0</v>
      </c>
      <c r="G1938">
        <v>4</v>
      </c>
      <c r="H1938">
        <v>13</v>
      </c>
      <c r="I1938">
        <v>33</v>
      </c>
      <c r="J1938">
        <v>36</v>
      </c>
      <c r="K1938">
        <f t="shared" si="32"/>
        <v>4</v>
      </c>
    </row>
    <row r="1939" spans="2:11" x14ac:dyDescent="0.35">
      <c r="B1939" t="s">
        <v>1935</v>
      </c>
      <c r="C1939">
        <v>9</v>
      </c>
      <c r="D1939">
        <v>0</v>
      </c>
      <c r="E1939">
        <v>0</v>
      </c>
      <c r="F1939">
        <v>0</v>
      </c>
      <c r="G1939">
        <v>0</v>
      </c>
      <c r="H1939">
        <v>1</v>
      </c>
      <c r="I1939">
        <v>2</v>
      </c>
      <c r="J1939">
        <v>7</v>
      </c>
      <c r="K1939">
        <f t="shared" si="32"/>
        <v>2</v>
      </c>
    </row>
    <row r="1940" spans="2:11" x14ac:dyDescent="0.35">
      <c r="B1940" t="s">
        <v>1936</v>
      </c>
      <c r="C1940">
        <v>24</v>
      </c>
      <c r="D1940">
        <v>2</v>
      </c>
      <c r="E1940">
        <v>0</v>
      </c>
      <c r="F1940">
        <v>0</v>
      </c>
      <c r="G1940">
        <v>0</v>
      </c>
      <c r="H1940">
        <v>4</v>
      </c>
      <c r="I1940">
        <v>5</v>
      </c>
      <c r="J1940">
        <v>14</v>
      </c>
      <c r="K1940">
        <f t="shared" si="32"/>
        <v>3</v>
      </c>
    </row>
    <row r="1941" spans="2:11" x14ac:dyDescent="0.35">
      <c r="B1941" t="s">
        <v>1937</v>
      </c>
      <c r="C1941">
        <v>11</v>
      </c>
      <c r="D1941">
        <v>2</v>
      </c>
      <c r="E1941">
        <v>0</v>
      </c>
      <c r="F1941">
        <v>1</v>
      </c>
      <c r="G1941">
        <v>0</v>
      </c>
      <c r="H1941">
        <v>0</v>
      </c>
      <c r="I1941">
        <v>6</v>
      </c>
      <c r="J1941">
        <v>3</v>
      </c>
      <c r="K1941">
        <f t="shared" si="32"/>
        <v>3</v>
      </c>
    </row>
    <row r="1942" spans="2:11" x14ac:dyDescent="0.35">
      <c r="B1942" t="s">
        <v>1938</v>
      </c>
      <c r="C1942">
        <v>32</v>
      </c>
      <c r="D1942">
        <v>2</v>
      </c>
      <c r="E1942">
        <v>0</v>
      </c>
      <c r="F1942">
        <v>0</v>
      </c>
      <c r="G1942">
        <v>1</v>
      </c>
      <c r="H1942">
        <v>9</v>
      </c>
      <c r="I1942">
        <v>7</v>
      </c>
      <c r="J1942">
        <v>14</v>
      </c>
      <c r="K1942">
        <f t="shared" si="32"/>
        <v>4</v>
      </c>
    </row>
    <row r="1943" spans="2:11" x14ac:dyDescent="0.35">
      <c r="B1943" t="s">
        <v>1939</v>
      </c>
      <c r="C1943">
        <v>47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24</v>
      </c>
      <c r="J1943">
        <v>20</v>
      </c>
      <c r="K1943">
        <f t="shared" si="32"/>
        <v>2</v>
      </c>
    </row>
    <row r="1944" spans="2:11" x14ac:dyDescent="0.35">
      <c r="B1944" t="s">
        <v>1940</v>
      </c>
      <c r="C1944">
        <v>41</v>
      </c>
      <c r="D1944">
        <v>3</v>
      </c>
      <c r="E1944">
        <v>0</v>
      </c>
      <c r="F1944">
        <v>0</v>
      </c>
      <c r="G1944">
        <v>8</v>
      </c>
      <c r="H1944">
        <v>5</v>
      </c>
      <c r="I1944">
        <v>10</v>
      </c>
      <c r="J1944">
        <v>16</v>
      </c>
      <c r="K1944">
        <f t="shared" si="32"/>
        <v>4</v>
      </c>
    </row>
    <row r="1945" spans="2:11" x14ac:dyDescent="0.35">
      <c r="B1945" t="s">
        <v>1941</v>
      </c>
      <c r="C1945">
        <v>199</v>
      </c>
      <c r="D1945">
        <v>11</v>
      </c>
      <c r="E1945">
        <v>0</v>
      </c>
      <c r="F1945">
        <v>0</v>
      </c>
      <c r="G1945">
        <v>40</v>
      </c>
      <c r="H1945">
        <v>17</v>
      </c>
      <c r="I1945">
        <v>59</v>
      </c>
      <c r="J1945">
        <v>73</v>
      </c>
      <c r="K1945">
        <f t="shared" si="32"/>
        <v>4</v>
      </c>
    </row>
    <row r="1946" spans="2:11" x14ac:dyDescent="0.35">
      <c r="B1946" t="s">
        <v>1942</v>
      </c>
      <c r="C1946">
        <v>88</v>
      </c>
      <c r="D1946">
        <v>12</v>
      </c>
      <c r="E1946">
        <v>0</v>
      </c>
      <c r="F1946">
        <v>1</v>
      </c>
      <c r="G1946">
        <v>18</v>
      </c>
      <c r="H1946">
        <v>4</v>
      </c>
      <c r="I1946">
        <v>18</v>
      </c>
      <c r="J1946">
        <v>36</v>
      </c>
      <c r="K1946">
        <f t="shared" si="32"/>
        <v>5</v>
      </c>
    </row>
    <row r="1947" spans="2:11" x14ac:dyDescent="0.35">
      <c r="B1947" t="s">
        <v>1943</v>
      </c>
      <c r="C1947">
        <v>30</v>
      </c>
      <c r="D1947">
        <v>0</v>
      </c>
      <c r="E1947">
        <v>0</v>
      </c>
      <c r="F1947">
        <v>0</v>
      </c>
      <c r="G1947">
        <v>7</v>
      </c>
      <c r="H1947">
        <v>1</v>
      </c>
      <c r="I1947">
        <v>2</v>
      </c>
      <c r="J1947">
        <v>21</v>
      </c>
      <c r="K1947">
        <f t="shared" si="32"/>
        <v>3</v>
      </c>
    </row>
    <row r="1948" spans="2:11" x14ac:dyDescent="0.35">
      <c r="B1948" t="s">
        <v>1944</v>
      </c>
      <c r="C1948">
        <v>29</v>
      </c>
      <c r="D1948">
        <v>2</v>
      </c>
      <c r="E1948">
        <v>0</v>
      </c>
      <c r="F1948">
        <v>0</v>
      </c>
      <c r="G1948">
        <v>6</v>
      </c>
      <c r="H1948">
        <v>3</v>
      </c>
      <c r="I1948">
        <v>11</v>
      </c>
      <c r="J1948">
        <v>8</v>
      </c>
      <c r="K1948">
        <f t="shared" si="32"/>
        <v>4</v>
      </c>
    </row>
    <row r="1949" spans="2:11" x14ac:dyDescent="0.35">
      <c r="B1949" t="s">
        <v>1945</v>
      </c>
      <c r="C1949">
        <v>43</v>
      </c>
      <c r="D1949">
        <v>2</v>
      </c>
      <c r="E1949">
        <v>0</v>
      </c>
      <c r="F1949">
        <v>0</v>
      </c>
      <c r="G1949">
        <v>5</v>
      </c>
      <c r="H1949">
        <v>2</v>
      </c>
      <c r="I1949">
        <v>11</v>
      </c>
      <c r="J1949">
        <v>24</v>
      </c>
      <c r="K1949">
        <f t="shared" si="32"/>
        <v>4</v>
      </c>
    </row>
    <row r="1950" spans="2:11" x14ac:dyDescent="0.35">
      <c r="B1950" t="s">
        <v>1946</v>
      </c>
      <c r="C1950">
        <v>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4</v>
      </c>
      <c r="K1950">
        <f t="shared" si="32"/>
        <v>0</v>
      </c>
    </row>
    <row r="1951" spans="2:11" x14ac:dyDescent="0.35">
      <c r="B1951" t="s">
        <v>1947</v>
      </c>
      <c r="C1951">
        <v>13</v>
      </c>
      <c r="D1951">
        <v>2</v>
      </c>
      <c r="E1951">
        <v>2</v>
      </c>
      <c r="F1951">
        <v>0</v>
      </c>
      <c r="G1951">
        <v>0</v>
      </c>
      <c r="H1951">
        <v>2</v>
      </c>
      <c r="I1951">
        <v>5</v>
      </c>
      <c r="J1951">
        <v>3</v>
      </c>
      <c r="K1951">
        <f t="shared" si="32"/>
        <v>4</v>
      </c>
    </row>
    <row r="1952" spans="2:11" x14ac:dyDescent="0.35">
      <c r="B1952" t="s">
        <v>1948</v>
      </c>
      <c r="C1952">
        <v>29</v>
      </c>
      <c r="D1952">
        <v>2</v>
      </c>
      <c r="E1952">
        <v>0</v>
      </c>
      <c r="F1952">
        <v>1</v>
      </c>
      <c r="G1952">
        <v>2</v>
      </c>
      <c r="H1952">
        <v>1</v>
      </c>
      <c r="I1952">
        <v>5</v>
      </c>
      <c r="J1952">
        <v>19</v>
      </c>
      <c r="K1952">
        <f t="shared" si="32"/>
        <v>5</v>
      </c>
    </row>
    <row r="1953" spans="2:11" x14ac:dyDescent="0.35">
      <c r="B1953" t="s">
        <v>1949</v>
      </c>
      <c r="C1953">
        <v>74</v>
      </c>
      <c r="D1953">
        <v>3</v>
      </c>
      <c r="E1953">
        <v>0</v>
      </c>
      <c r="F1953">
        <v>1</v>
      </c>
      <c r="G1953">
        <v>9</v>
      </c>
      <c r="H1953">
        <v>11</v>
      </c>
      <c r="I1953">
        <v>17</v>
      </c>
      <c r="J1953">
        <v>34</v>
      </c>
      <c r="K1953">
        <f t="shared" si="32"/>
        <v>5</v>
      </c>
    </row>
    <row r="1954" spans="2:11" x14ac:dyDescent="0.35">
      <c r="B1954" t="s">
        <v>1950</v>
      </c>
      <c r="C1954">
        <v>30</v>
      </c>
      <c r="D1954">
        <v>6</v>
      </c>
      <c r="E1954">
        <v>0</v>
      </c>
      <c r="F1954">
        <v>0</v>
      </c>
      <c r="G1954">
        <v>7</v>
      </c>
      <c r="H1954">
        <v>1</v>
      </c>
      <c r="I1954">
        <v>12</v>
      </c>
      <c r="J1954">
        <v>5</v>
      </c>
      <c r="K1954">
        <f t="shared" si="32"/>
        <v>4</v>
      </c>
    </row>
    <row r="1955" spans="2:11" x14ac:dyDescent="0.35">
      <c r="B1955" t="s">
        <v>1951</v>
      </c>
      <c r="C1955">
        <v>29</v>
      </c>
      <c r="D1955">
        <v>2</v>
      </c>
      <c r="E1955">
        <v>0</v>
      </c>
      <c r="F1955">
        <v>0</v>
      </c>
      <c r="G1955">
        <v>7</v>
      </c>
      <c r="H1955">
        <v>0</v>
      </c>
      <c r="I1955">
        <v>10</v>
      </c>
      <c r="J1955">
        <v>11</v>
      </c>
      <c r="K1955">
        <f t="shared" si="32"/>
        <v>3</v>
      </c>
    </row>
    <row r="1956" spans="2:11" x14ac:dyDescent="0.35">
      <c r="B1956" t="s">
        <v>1952</v>
      </c>
      <c r="C1956">
        <v>87</v>
      </c>
      <c r="D1956">
        <v>8</v>
      </c>
      <c r="E1956">
        <v>2</v>
      </c>
      <c r="F1956">
        <v>3</v>
      </c>
      <c r="G1956">
        <v>8</v>
      </c>
      <c r="H1956">
        <v>11</v>
      </c>
      <c r="I1956">
        <v>19</v>
      </c>
      <c r="J1956">
        <v>37</v>
      </c>
      <c r="K1956">
        <f t="shared" si="32"/>
        <v>6</v>
      </c>
    </row>
    <row r="1957" spans="2:11" x14ac:dyDescent="0.35">
      <c r="B1957" t="s">
        <v>1953</v>
      </c>
      <c r="C1957">
        <v>46</v>
      </c>
      <c r="D1957">
        <v>4</v>
      </c>
      <c r="E1957">
        <v>0</v>
      </c>
      <c r="F1957">
        <v>1</v>
      </c>
      <c r="G1957">
        <v>14</v>
      </c>
      <c r="H1957">
        <v>7</v>
      </c>
      <c r="I1957">
        <v>7</v>
      </c>
      <c r="J1957">
        <v>14</v>
      </c>
      <c r="K1957">
        <f t="shared" si="32"/>
        <v>5</v>
      </c>
    </row>
    <row r="1958" spans="2:11" x14ac:dyDescent="0.35">
      <c r="B1958" t="s">
        <v>1954</v>
      </c>
      <c r="C1958">
        <v>71</v>
      </c>
      <c r="D1958">
        <v>6</v>
      </c>
      <c r="E1958">
        <v>0</v>
      </c>
      <c r="F1958">
        <v>2</v>
      </c>
      <c r="G1958">
        <v>4</v>
      </c>
      <c r="H1958">
        <v>2</v>
      </c>
      <c r="I1958">
        <v>16</v>
      </c>
      <c r="J1958">
        <v>42</v>
      </c>
      <c r="K1958">
        <f t="shared" si="32"/>
        <v>5</v>
      </c>
    </row>
    <row r="1959" spans="2:11" x14ac:dyDescent="0.35">
      <c r="B1959" t="s">
        <v>1955</v>
      </c>
      <c r="C1959">
        <v>35</v>
      </c>
      <c r="D1959">
        <v>0</v>
      </c>
      <c r="E1959">
        <v>1</v>
      </c>
      <c r="F1959">
        <v>1</v>
      </c>
      <c r="G1959">
        <v>1</v>
      </c>
      <c r="H1959">
        <v>3</v>
      </c>
      <c r="I1959">
        <v>11</v>
      </c>
      <c r="J1959">
        <v>19</v>
      </c>
      <c r="K1959">
        <f t="shared" si="32"/>
        <v>5</v>
      </c>
    </row>
    <row r="1960" spans="2:11" x14ac:dyDescent="0.35">
      <c r="B1960" t="s">
        <v>1956</v>
      </c>
      <c r="C1960">
        <v>22</v>
      </c>
      <c r="D1960">
        <v>0</v>
      </c>
      <c r="E1960">
        <v>0</v>
      </c>
      <c r="F1960">
        <v>0</v>
      </c>
      <c r="G1960">
        <v>0</v>
      </c>
      <c r="H1960">
        <v>5</v>
      </c>
      <c r="I1960">
        <v>5</v>
      </c>
      <c r="J1960">
        <v>13</v>
      </c>
      <c r="K1960">
        <f t="shared" si="32"/>
        <v>2</v>
      </c>
    </row>
    <row r="1961" spans="2:11" x14ac:dyDescent="0.35">
      <c r="B1961" t="s">
        <v>1957</v>
      </c>
      <c r="C1961">
        <v>78</v>
      </c>
      <c r="D1961">
        <v>9</v>
      </c>
      <c r="E1961">
        <v>1</v>
      </c>
      <c r="F1961">
        <v>0</v>
      </c>
      <c r="G1961">
        <v>5</v>
      </c>
      <c r="H1961">
        <v>5</v>
      </c>
      <c r="I1961">
        <v>32</v>
      </c>
      <c r="J1961">
        <v>27</v>
      </c>
      <c r="K1961">
        <f t="shared" si="32"/>
        <v>5</v>
      </c>
    </row>
    <row r="1962" spans="2:11" x14ac:dyDescent="0.35">
      <c r="B1962" t="s">
        <v>1958</v>
      </c>
      <c r="C1962">
        <v>66</v>
      </c>
      <c r="D1962">
        <v>4</v>
      </c>
      <c r="E1962">
        <v>0</v>
      </c>
      <c r="F1962">
        <v>0</v>
      </c>
      <c r="G1962">
        <v>3</v>
      </c>
      <c r="H1962">
        <v>29</v>
      </c>
      <c r="I1962">
        <v>16</v>
      </c>
      <c r="J1962">
        <v>15</v>
      </c>
      <c r="K1962">
        <f t="shared" si="32"/>
        <v>4</v>
      </c>
    </row>
    <row r="1963" spans="2:11" x14ac:dyDescent="0.35">
      <c r="B1963" t="s">
        <v>1959</v>
      </c>
      <c r="C1963">
        <v>90</v>
      </c>
      <c r="D1963">
        <v>4</v>
      </c>
      <c r="E1963">
        <v>0</v>
      </c>
      <c r="F1963">
        <v>0</v>
      </c>
      <c r="G1963">
        <v>3</v>
      </c>
      <c r="H1963">
        <v>45</v>
      </c>
      <c r="I1963">
        <v>16</v>
      </c>
      <c r="J1963">
        <v>23</v>
      </c>
      <c r="K1963">
        <f t="shared" si="32"/>
        <v>4</v>
      </c>
    </row>
    <row r="1964" spans="2:11" x14ac:dyDescent="0.35">
      <c r="B1964" t="s">
        <v>1960</v>
      </c>
      <c r="C1964">
        <v>42</v>
      </c>
      <c r="D1964">
        <v>7</v>
      </c>
      <c r="E1964">
        <v>0</v>
      </c>
      <c r="F1964">
        <v>0</v>
      </c>
      <c r="G1964">
        <v>1</v>
      </c>
      <c r="H1964">
        <v>4</v>
      </c>
      <c r="I1964">
        <v>11</v>
      </c>
      <c r="J1964">
        <v>20</v>
      </c>
      <c r="K1964">
        <f t="shared" si="32"/>
        <v>4</v>
      </c>
    </row>
    <row r="1965" spans="2:11" x14ac:dyDescent="0.35">
      <c r="B1965" t="s">
        <v>1961</v>
      </c>
      <c r="C1965">
        <v>11</v>
      </c>
      <c r="D1965">
        <v>0</v>
      </c>
      <c r="E1965">
        <v>0</v>
      </c>
      <c r="F1965">
        <v>0</v>
      </c>
      <c r="G1965">
        <v>0</v>
      </c>
      <c r="H1965">
        <v>2</v>
      </c>
      <c r="I1965">
        <v>2</v>
      </c>
      <c r="J1965">
        <v>8</v>
      </c>
      <c r="K1965">
        <f t="shared" si="32"/>
        <v>2</v>
      </c>
    </row>
    <row r="1966" spans="2:11" x14ac:dyDescent="0.35">
      <c r="B1966" t="s">
        <v>1962</v>
      </c>
      <c r="C1966">
        <v>2</v>
      </c>
      <c r="D1966">
        <v>0</v>
      </c>
      <c r="E1966">
        <v>1</v>
      </c>
      <c r="F1966">
        <v>1</v>
      </c>
      <c r="G1966">
        <v>0</v>
      </c>
      <c r="H1966">
        <v>0</v>
      </c>
      <c r="I1966">
        <v>0</v>
      </c>
      <c r="J1966">
        <v>1</v>
      </c>
      <c r="K1966">
        <f t="shared" si="32"/>
        <v>2</v>
      </c>
    </row>
    <row r="1967" spans="2:11" x14ac:dyDescent="0.35">
      <c r="B1967" t="s">
        <v>1963</v>
      </c>
      <c r="C1967">
        <v>29</v>
      </c>
      <c r="D1967">
        <v>2</v>
      </c>
      <c r="E1967">
        <v>0</v>
      </c>
      <c r="F1967">
        <v>0</v>
      </c>
      <c r="G1967">
        <v>4</v>
      </c>
      <c r="H1967">
        <v>0</v>
      </c>
      <c r="I1967">
        <v>10</v>
      </c>
      <c r="J1967">
        <v>14</v>
      </c>
      <c r="K1967">
        <f t="shared" si="32"/>
        <v>3</v>
      </c>
    </row>
    <row r="1968" spans="2:11" x14ac:dyDescent="0.35">
      <c r="B1968" t="s">
        <v>1964</v>
      </c>
      <c r="C1968">
        <v>75</v>
      </c>
      <c r="D1968">
        <v>4</v>
      </c>
      <c r="E1968">
        <v>1</v>
      </c>
      <c r="F1968">
        <v>0</v>
      </c>
      <c r="G1968">
        <v>0</v>
      </c>
      <c r="H1968">
        <v>5</v>
      </c>
      <c r="I1968">
        <v>29</v>
      </c>
      <c r="J1968">
        <v>37</v>
      </c>
      <c r="K1968">
        <f t="shared" si="32"/>
        <v>4</v>
      </c>
    </row>
    <row r="1969" spans="2:11" x14ac:dyDescent="0.35">
      <c r="B1969" t="s">
        <v>1965</v>
      </c>
      <c r="C1969">
        <v>17</v>
      </c>
      <c r="D1969">
        <v>1</v>
      </c>
      <c r="E1969">
        <v>0</v>
      </c>
      <c r="F1969">
        <v>0</v>
      </c>
      <c r="G1969">
        <v>7</v>
      </c>
      <c r="H1969">
        <v>0</v>
      </c>
      <c r="I1969">
        <v>7</v>
      </c>
      <c r="J1969">
        <v>3</v>
      </c>
      <c r="K1969">
        <f t="shared" si="32"/>
        <v>3</v>
      </c>
    </row>
    <row r="1970" spans="2:11" x14ac:dyDescent="0.35">
      <c r="B1970" t="s">
        <v>1966</v>
      </c>
      <c r="C1970">
        <v>25</v>
      </c>
      <c r="D1970">
        <v>0</v>
      </c>
      <c r="E1970">
        <v>0</v>
      </c>
      <c r="F1970">
        <v>1</v>
      </c>
      <c r="G1970">
        <v>0</v>
      </c>
      <c r="H1970">
        <v>1</v>
      </c>
      <c r="I1970">
        <v>6</v>
      </c>
      <c r="J1970">
        <v>18</v>
      </c>
      <c r="K1970">
        <f t="shared" si="32"/>
        <v>3</v>
      </c>
    </row>
    <row r="1971" spans="2:11" x14ac:dyDescent="0.35">
      <c r="B1971" t="s">
        <v>1967</v>
      </c>
      <c r="C1971">
        <v>125</v>
      </c>
      <c r="D1971">
        <v>0</v>
      </c>
      <c r="E1971">
        <v>0</v>
      </c>
      <c r="F1971">
        <v>0</v>
      </c>
      <c r="G1971">
        <v>0</v>
      </c>
      <c r="H1971">
        <v>26</v>
      </c>
      <c r="I1971">
        <v>15</v>
      </c>
      <c r="J1971">
        <v>85</v>
      </c>
      <c r="K1971">
        <f t="shared" si="32"/>
        <v>2</v>
      </c>
    </row>
    <row r="1972" spans="2:11" x14ac:dyDescent="0.35">
      <c r="B1972" t="s">
        <v>1968</v>
      </c>
      <c r="C1972">
        <v>21</v>
      </c>
      <c r="D1972">
        <v>1</v>
      </c>
      <c r="E1972">
        <v>0</v>
      </c>
      <c r="F1972">
        <v>0</v>
      </c>
      <c r="G1972">
        <v>0</v>
      </c>
      <c r="H1972">
        <v>2</v>
      </c>
      <c r="I1972">
        <v>9</v>
      </c>
      <c r="J1972">
        <v>10</v>
      </c>
      <c r="K1972">
        <f t="shared" si="32"/>
        <v>3</v>
      </c>
    </row>
    <row r="1973" spans="2:11" x14ac:dyDescent="0.35">
      <c r="B1973" t="s">
        <v>1969</v>
      </c>
      <c r="C1973">
        <v>27</v>
      </c>
      <c r="D1973">
        <v>2</v>
      </c>
      <c r="E1973">
        <v>0</v>
      </c>
      <c r="F1973">
        <v>0</v>
      </c>
      <c r="G1973">
        <v>1</v>
      </c>
      <c r="H1973">
        <v>7</v>
      </c>
      <c r="I1973">
        <v>4</v>
      </c>
      <c r="J1973">
        <v>14</v>
      </c>
      <c r="K1973">
        <f t="shared" si="32"/>
        <v>4</v>
      </c>
    </row>
    <row r="1974" spans="2:11" x14ac:dyDescent="0.35">
      <c r="B1974" t="s">
        <v>1970</v>
      </c>
      <c r="C1974">
        <v>54</v>
      </c>
      <c r="D1974">
        <v>5</v>
      </c>
      <c r="E1974">
        <v>0</v>
      </c>
      <c r="F1974">
        <v>1</v>
      </c>
      <c r="G1974">
        <v>1</v>
      </c>
      <c r="H1974">
        <v>0</v>
      </c>
      <c r="I1974">
        <v>11</v>
      </c>
      <c r="J1974">
        <v>37</v>
      </c>
      <c r="K1974">
        <f t="shared" si="32"/>
        <v>4</v>
      </c>
    </row>
    <row r="1975" spans="2:11" x14ac:dyDescent="0.35">
      <c r="B1975" t="s">
        <v>1971</v>
      </c>
      <c r="C1975">
        <v>59</v>
      </c>
      <c r="D1975">
        <v>4</v>
      </c>
      <c r="E1975">
        <v>0</v>
      </c>
      <c r="F1975">
        <v>1</v>
      </c>
      <c r="G1975">
        <v>5</v>
      </c>
      <c r="H1975">
        <v>1</v>
      </c>
      <c r="I1975">
        <v>41</v>
      </c>
      <c r="J1975">
        <v>8</v>
      </c>
      <c r="K1975">
        <f t="shared" si="32"/>
        <v>5</v>
      </c>
    </row>
    <row r="1976" spans="2:11" x14ac:dyDescent="0.35">
      <c r="B1976" t="s">
        <v>1972</v>
      </c>
      <c r="C1976">
        <v>59</v>
      </c>
      <c r="D1976">
        <v>4</v>
      </c>
      <c r="E1976">
        <v>0</v>
      </c>
      <c r="F1976">
        <v>1</v>
      </c>
      <c r="G1976">
        <v>5</v>
      </c>
      <c r="H1976">
        <v>1</v>
      </c>
      <c r="I1976">
        <v>41</v>
      </c>
      <c r="J1976">
        <v>8</v>
      </c>
      <c r="K1976">
        <f t="shared" si="32"/>
        <v>5</v>
      </c>
    </row>
    <row r="1977" spans="2:11" x14ac:dyDescent="0.35">
      <c r="B1977" t="s">
        <v>1973</v>
      </c>
      <c r="C1977">
        <v>7</v>
      </c>
      <c r="D1977">
        <v>2</v>
      </c>
      <c r="E1977">
        <v>0</v>
      </c>
      <c r="F1977">
        <v>0</v>
      </c>
      <c r="G1977">
        <v>0</v>
      </c>
      <c r="H1977">
        <v>0</v>
      </c>
      <c r="I1977">
        <v>2</v>
      </c>
      <c r="J1977">
        <v>4</v>
      </c>
      <c r="K1977">
        <f t="shared" si="32"/>
        <v>2</v>
      </c>
    </row>
    <row r="1978" spans="2:11" x14ac:dyDescent="0.35">
      <c r="B1978" t="s">
        <v>1974</v>
      </c>
      <c r="C1978">
        <v>34</v>
      </c>
      <c r="D1978">
        <v>1</v>
      </c>
      <c r="E1978">
        <v>0</v>
      </c>
      <c r="F1978">
        <v>0</v>
      </c>
      <c r="G1978">
        <v>1</v>
      </c>
      <c r="H1978">
        <v>5</v>
      </c>
      <c r="I1978">
        <v>8</v>
      </c>
      <c r="J1978">
        <v>20</v>
      </c>
      <c r="K1978">
        <f t="shared" si="32"/>
        <v>4</v>
      </c>
    </row>
    <row r="1979" spans="2:11" x14ac:dyDescent="0.35">
      <c r="B1979" t="s">
        <v>1975</v>
      </c>
      <c r="C1979">
        <v>50</v>
      </c>
      <c r="D1979">
        <v>8</v>
      </c>
      <c r="E1979">
        <v>0</v>
      </c>
      <c r="F1979">
        <v>0</v>
      </c>
      <c r="G1979">
        <v>3</v>
      </c>
      <c r="H1979">
        <v>5</v>
      </c>
      <c r="I1979">
        <v>11</v>
      </c>
      <c r="J1979">
        <v>24</v>
      </c>
      <c r="K1979">
        <f t="shared" si="32"/>
        <v>4</v>
      </c>
    </row>
    <row r="1980" spans="2:11" x14ac:dyDescent="0.35">
      <c r="B1980" t="s">
        <v>1976</v>
      </c>
      <c r="C1980">
        <v>45</v>
      </c>
      <c r="D1980">
        <v>1</v>
      </c>
      <c r="E1980">
        <v>0</v>
      </c>
      <c r="F1980">
        <v>0</v>
      </c>
      <c r="G1980">
        <v>0</v>
      </c>
      <c r="H1980">
        <v>4</v>
      </c>
      <c r="I1980">
        <v>7</v>
      </c>
      <c r="J1980">
        <v>34</v>
      </c>
      <c r="K1980">
        <f t="shared" si="32"/>
        <v>3</v>
      </c>
    </row>
    <row r="1981" spans="2:11" x14ac:dyDescent="0.35">
      <c r="B1981" t="s">
        <v>1977</v>
      </c>
      <c r="C1981">
        <v>61</v>
      </c>
      <c r="D1981">
        <v>2</v>
      </c>
      <c r="E1981">
        <v>0</v>
      </c>
      <c r="F1981">
        <v>1</v>
      </c>
      <c r="G1981">
        <v>17</v>
      </c>
      <c r="H1981">
        <v>4</v>
      </c>
      <c r="I1981">
        <v>22</v>
      </c>
      <c r="J1981">
        <v>16</v>
      </c>
      <c r="K1981">
        <f t="shared" si="32"/>
        <v>5</v>
      </c>
    </row>
    <row r="1982" spans="2:11" x14ac:dyDescent="0.35">
      <c r="B1982" t="s">
        <v>1978</v>
      </c>
      <c r="C1982">
        <v>17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6</v>
      </c>
      <c r="J1982">
        <v>12</v>
      </c>
      <c r="K1982">
        <f t="shared" si="32"/>
        <v>1</v>
      </c>
    </row>
    <row r="1983" spans="2:11" x14ac:dyDescent="0.35">
      <c r="B1983" t="s">
        <v>1979</v>
      </c>
      <c r="C1983">
        <v>15</v>
      </c>
      <c r="D1983">
        <v>0</v>
      </c>
      <c r="E1983">
        <v>0</v>
      </c>
      <c r="F1983">
        <v>0</v>
      </c>
      <c r="G1983">
        <v>2</v>
      </c>
      <c r="H1983">
        <v>2</v>
      </c>
      <c r="I1983">
        <v>7</v>
      </c>
      <c r="J1983">
        <v>5</v>
      </c>
      <c r="K1983">
        <f t="shared" si="32"/>
        <v>3</v>
      </c>
    </row>
    <row r="1984" spans="2:11" x14ac:dyDescent="0.35">
      <c r="B1984" t="s">
        <v>1980</v>
      </c>
      <c r="C1984">
        <v>12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6</v>
      </c>
      <c r="J1984">
        <v>7</v>
      </c>
      <c r="K1984">
        <f t="shared" si="32"/>
        <v>1</v>
      </c>
    </row>
    <row r="1985" spans="2:11" x14ac:dyDescent="0.35">
      <c r="B1985" t="s">
        <v>1981</v>
      </c>
      <c r="C1985">
        <v>9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4</v>
      </c>
      <c r="J1985">
        <v>6</v>
      </c>
      <c r="K1985">
        <f t="shared" si="32"/>
        <v>1</v>
      </c>
    </row>
    <row r="1986" spans="2:11" x14ac:dyDescent="0.35">
      <c r="B1986" t="s">
        <v>1982</v>
      </c>
      <c r="C1986">
        <v>13</v>
      </c>
      <c r="D1986">
        <v>0</v>
      </c>
      <c r="E1986">
        <v>0</v>
      </c>
      <c r="F1986">
        <v>0</v>
      </c>
      <c r="G1986">
        <v>1</v>
      </c>
      <c r="H1986">
        <v>0</v>
      </c>
      <c r="I1986">
        <v>0</v>
      </c>
      <c r="J1986">
        <v>13</v>
      </c>
      <c r="K1986">
        <f t="shared" si="32"/>
        <v>1</v>
      </c>
    </row>
    <row r="1987" spans="2:11" x14ac:dyDescent="0.35">
      <c r="B1987" t="s">
        <v>1983</v>
      </c>
      <c r="C1987">
        <v>60</v>
      </c>
      <c r="D1987">
        <v>4</v>
      </c>
      <c r="E1987">
        <v>0</v>
      </c>
      <c r="F1987">
        <v>0</v>
      </c>
      <c r="G1987">
        <v>4</v>
      </c>
      <c r="H1987">
        <v>7</v>
      </c>
      <c r="I1987">
        <v>25</v>
      </c>
      <c r="J1987">
        <v>21</v>
      </c>
      <c r="K1987">
        <f t="shared" si="32"/>
        <v>4</v>
      </c>
    </row>
    <row r="1988" spans="2:11" x14ac:dyDescent="0.35">
      <c r="B1988" t="s">
        <v>1984</v>
      </c>
      <c r="C1988">
        <v>71</v>
      </c>
      <c r="D1988">
        <v>2</v>
      </c>
      <c r="E1988">
        <v>0</v>
      </c>
      <c r="F1988">
        <v>1</v>
      </c>
      <c r="G1988">
        <v>0</v>
      </c>
      <c r="H1988">
        <v>23</v>
      </c>
      <c r="I1988">
        <v>9</v>
      </c>
      <c r="J1988">
        <v>37</v>
      </c>
      <c r="K1988">
        <f t="shared" si="32"/>
        <v>4</v>
      </c>
    </row>
    <row r="1989" spans="2:11" x14ac:dyDescent="0.35">
      <c r="B1989" t="s">
        <v>1985</v>
      </c>
      <c r="C1989">
        <v>8</v>
      </c>
      <c r="D1989">
        <v>1</v>
      </c>
      <c r="E1989">
        <v>0</v>
      </c>
      <c r="F1989">
        <v>0</v>
      </c>
      <c r="G1989">
        <v>0</v>
      </c>
      <c r="H1989">
        <v>1</v>
      </c>
      <c r="I1989">
        <v>4</v>
      </c>
      <c r="J1989">
        <v>3</v>
      </c>
      <c r="K1989">
        <f t="shared" si="32"/>
        <v>3</v>
      </c>
    </row>
    <row r="1990" spans="2:11" x14ac:dyDescent="0.35">
      <c r="B1990" t="s">
        <v>1986</v>
      </c>
      <c r="C1990">
        <v>9</v>
      </c>
      <c r="D1990">
        <v>0</v>
      </c>
      <c r="E1990">
        <v>0</v>
      </c>
      <c r="F1990">
        <v>0</v>
      </c>
      <c r="G1990">
        <v>0</v>
      </c>
      <c r="H1990">
        <v>2</v>
      </c>
      <c r="I1990">
        <v>5</v>
      </c>
      <c r="J1990">
        <v>3</v>
      </c>
      <c r="K1990">
        <f t="shared" si="32"/>
        <v>2</v>
      </c>
    </row>
    <row r="1991" spans="2:11" x14ac:dyDescent="0.35">
      <c r="B1991" t="s">
        <v>1987</v>
      </c>
      <c r="C1991">
        <v>6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4</v>
      </c>
      <c r="J1991">
        <v>3</v>
      </c>
      <c r="K1991">
        <f t="shared" si="32"/>
        <v>1</v>
      </c>
    </row>
    <row r="1992" spans="2:11" x14ac:dyDescent="0.35">
      <c r="B1992" t="s">
        <v>1988</v>
      </c>
      <c r="C1992">
        <v>6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4</v>
      </c>
      <c r="J1992">
        <v>3</v>
      </c>
      <c r="K1992">
        <f t="shared" si="32"/>
        <v>1</v>
      </c>
    </row>
    <row r="1993" spans="2:11" x14ac:dyDescent="0.35">
      <c r="B1993" t="s">
        <v>1989</v>
      </c>
      <c r="C1993">
        <v>11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6</v>
      </c>
      <c r="J1993">
        <v>6</v>
      </c>
      <c r="K1993">
        <f t="shared" si="32"/>
        <v>1</v>
      </c>
    </row>
    <row r="1994" spans="2:11" x14ac:dyDescent="0.35">
      <c r="B1994" t="s">
        <v>1990</v>
      </c>
      <c r="C1994">
        <v>11</v>
      </c>
      <c r="D1994">
        <v>2</v>
      </c>
      <c r="E1994">
        <v>0</v>
      </c>
      <c r="F1994">
        <v>0</v>
      </c>
      <c r="G1994">
        <v>0</v>
      </c>
      <c r="H1994">
        <v>0</v>
      </c>
      <c r="I1994">
        <v>8</v>
      </c>
      <c r="J1994">
        <v>2</v>
      </c>
      <c r="K1994">
        <f t="shared" si="32"/>
        <v>2</v>
      </c>
    </row>
    <row r="1995" spans="2:11" x14ac:dyDescent="0.35">
      <c r="B1995" t="s">
        <v>1991</v>
      </c>
      <c r="C1995">
        <v>73</v>
      </c>
      <c r="D1995">
        <v>2</v>
      </c>
      <c r="E1995">
        <v>1</v>
      </c>
      <c r="F1995">
        <v>0</v>
      </c>
      <c r="G1995">
        <v>1</v>
      </c>
      <c r="H1995">
        <v>13</v>
      </c>
      <c r="I1995">
        <v>37</v>
      </c>
      <c r="J1995">
        <v>20</v>
      </c>
      <c r="K1995">
        <f t="shared" si="32"/>
        <v>5</v>
      </c>
    </row>
    <row r="1996" spans="2:11" x14ac:dyDescent="0.35">
      <c r="B1996" t="s">
        <v>1992</v>
      </c>
      <c r="C1996">
        <v>12</v>
      </c>
      <c r="D1996">
        <v>0</v>
      </c>
      <c r="E1996">
        <v>0</v>
      </c>
      <c r="F1996">
        <v>0</v>
      </c>
      <c r="G1996">
        <v>0</v>
      </c>
      <c r="H1996">
        <v>2</v>
      </c>
      <c r="I1996">
        <v>7</v>
      </c>
      <c r="J1996">
        <v>4</v>
      </c>
      <c r="K1996">
        <f t="shared" ref="K1996:K2059" si="33">COUNTIF(D1996:I1996, "&gt;0")</f>
        <v>2</v>
      </c>
    </row>
    <row r="1997" spans="2:11" x14ac:dyDescent="0.35">
      <c r="B1997" t="s">
        <v>1993</v>
      </c>
      <c r="C1997">
        <v>8</v>
      </c>
      <c r="D1997">
        <v>0</v>
      </c>
      <c r="E1997">
        <v>0</v>
      </c>
      <c r="F1997">
        <v>2</v>
      </c>
      <c r="G1997">
        <v>0</v>
      </c>
      <c r="H1997">
        <v>0</v>
      </c>
      <c r="I1997">
        <v>5</v>
      </c>
      <c r="J1997">
        <v>2</v>
      </c>
      <c r="K1997">
        <f t="shared" si="33"/>
        <v>2</v>
      </c>
    </row>
    <row r="1998" spans="2:11" x14ac:dyDescent="0.35">
      <c r="B1998" t="s">
        <v>1994</v>
      </c>
      <c r="C1998">
        <v>23</v>
      </c>
      <c r="D1998">
        <v>2</v>
      </c>
      <c r="E1998">
        <v>0</v>
      </c>
      <c r="F1998">
        <v>1</v>
      </c>
      <c r="G1998">
        <v>0</v>
      </c>
      <c r="H1998">
        <v>2</v>
      </c>
      <c r="I1998">
        <v>12</v>
      </c>
      <c r="J1998">
        <v>7</v>
      </c>
      <c r="K1998">
        <f t="shared" si="33"/>
        <v>4</v>
      </c>
    </row>
    <row r="1999" spans="2:11" x14ac:dyDescent="0.35">
      <c r="B1999" t="s">
        <v>1995</v>
      </c>
      <c r="C1999">
        <v>11</v>
      </c>
      <c r="D1999">
        <v>1</v>
      </c>
      <c r="E1999">
        <v>0</v>
      </c>
      <c r="F1999">
        <v>0</v>
      </c>
      <c r="G1999">
        <v>0</v>
      </c>
      <c r="H1999">
        <v>8</v>
      </c>
      <c r="I1999">
        <v>1</v>
      </c>
      <c r="J1999">
        <v>2</v>
      </c>
      <c r="K1999">
        <f t="shared" si="33"/>
        <v>3</v>
      </c>
    </row>
    <row r="2000" spans="2:11" x14ac:dyDescent="0.35">
      <c r="B2000" t="s">
        <v>1996</v>
      </c>
      <c r="C2000">
        <v>92</v>
      </c>
      <c r="D2000">
        <v>4</v>
      </c>
      <c r="E2000">
        <v>0</v>
      </c>
      <c r="F2000">
        <v>0</v>
      </c>
      <c r="G2000">
        <v>6</v>
      </c>
      <c r="H2000">
        <v>20</v>
      </c>
      <c r="I2000">
        <v>16</v>
      </c>
      <c r="J2000">
        <v>47</v>
      </c>
      <c r="K2000">
        <f t="shared" si="33"/>
        <v>4</v>
      </c>
    </row>
    <row r="2001" spans="2:11" x14ac:dyDescent="0.35">
      <c r="B2001" t="s">
        <v>1997</v>
      </c>
      <c r="C2001">
        <v>58</v>
      </c>
      <c r="D2001">
        <v>1</v>
      </c>
      <c r="E2001">
        <v>0</v>
      </c>
      <c r="F2001">
        <v>0</v>
      </c>
      <c r="G2001">
        <v>7</v>
      </c>
      <c r="H2001">
        <v>6</v>
      </c>
      <c r="I2001">
        <v>15</v>
      </c>
      <c r="J2001">
        <v>30</v>
      </c>
      <c r="K2001">
        <f t="shared" si="33"/>
        <v>4</v>
      </c>
    </row>
    <row r="2002" spans="2:11" x14ac:dyDescent="0.35">
      <c r="B2002" t="s">
        <v>1998</v>
      </c>
      <c r="C2002">
        <v>14</v>
      </c>
      <c r="D2002">
        <v>2</v>
      </c>
      <c r="E2002">
        <v>1</v>
      </c>
      <c r="F2002">
        <v>0</v>
      </c>
      <c r="G2002">
        <v>0</v>
      </c>
      <c r="H2002">
        <v>0</v>
      </c>
      <c r="I2002">
        <v>3</v>
      </c>
      <c r="J2002">
        <v>9</v>
      </c>
      <c r="K2002">
        <f t="shared" si="33"/>
        <v>3</v>
      </c>
    </row>
    <row r="2003" spans="2:11" x14ac:dyDescent="0.35">
      <c r="B2003" t="s">
        <v>1999</v>
      </c>
      <c r="C2003">
        <v>43</v>
      </c>
      <c r="D2003">
        <v>1</v>
      </c>
      <c r="E2003">
        <v>0</v>
      </c>
      <c r="F2003">
        <v>0</v>
      </c>
      <c r="G2003">
        <v>3</v>
      </c>
      <c r="H2003">
        <v>2</v>
      </c>
      <c r="I2003">
        <v>7</v>
      </c>
      <c r="J2003">
        <v>31</v>
      </c>
      <c r="K2003">
        <f t="shared" si="33"/>
        <v>4</v>
      </c>
    </row>
    <row r="2004" spans="2:11" x14ac:dyDescent="0.35">
      <c r="B2004" t="s">
        <v>2000</v>
      </c>
      <c r="C2004">
        <v>11</v>
      </c>
      <c r="D2004">
        <v>0</v>
      </c>
      <c r="E2004">
        <v>0</v>
      </c>
      <c r="F2004">
        <v>0</v>
      </c>
      <c r="G2004">
        <v>1</v>
      </c>
      <c r="H2004">
        <v>1</v>
      </c>
      <c r="I2004">
        <v>6</v>
      </c>
      <c r="J2004">
        <v>4</v>
      </c>
      <c r="K2004">
        <f t="shared" si="33"/>
        <v>3</v>
      </c>
    </row>
    <row r="2005" spans="2:11" x14ac:dyDescent="0.35">
      <c r="B2005" t="s">
        <v>2001</v>
      </c>
      <c r="C2005">
        <v>6</v>
      </c>
      <c r="D2005">
        <v>1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6</v>
      </c>
      <c r="K2005">
        <f t="shared" si="33"/>
        <v>1</v>
      </c>
    </row>
    <row r="2006" spans="2:11" x14ac:dyDescent="0.35">
      <c r="B2006" t="s">
        <v>2002</v>
      </c>
      <c r="C2006">
        <v>16</v>
      </c>
      <c r="D2006">
        <v>2</v>
      </c>
      <c r="E2006">
        <v>0</v>
      </c>
      <c r="F2006">
        <v>0</v>
      </c>
      <c r="G2006">
        <v>4</v>
      </c>
      <c r="H2006">
        <v>1</v>
      </c>
      <c r="I2006">
        <v>4</v>
      </c>
      <c r="J2006">
        <v>6</v>
      </c>
      <c r="K2006">
        <f t="shared" si="33"/>
        <v>4</v>
      </c>
    </row>
    <row r="2007" spans="2:11" x14ac:dyDescent="0.35">
      <c r="B2007" t="s">
        <v>2003</v>
      </c>
      <c r="C2007">
        <v>88</v>
      </c>
      <c r="D2007">
        <v>3</v>
      </c>
      <c r="E2007">
        <v>0</v>
      </c>
      <c r="F2007">
        <v>0</v>
      </c>
      <c r="G2007">
        <v>2</v>
      </c>
      <c r="H2007">
        <v>3</v>
      </c>
      <c r="I2007">
        <v>55</v>
      </c>
      <c r="J2007">
        <v>26</v>
      </c>
      <c r="K2007">
        <f t="shared" si="33"/>
        <v>4</v>
      </c>
    </row>
    <row r="2008" spans="2:11" x14ac:dyDescent="0.35">
      <c r="B2008" t="s">
        <v>2004</v>
      </c>
      <c r="C2008">
        <v>169</v>
      </c>
      <c r="D2008">
        <v>11</v>
      </c>
      <c r="E2008">
        <v>2</v>
      </c>
      <c r="F2008">
        <v>0</v>
      </c>
      <c r="G2008">
        <v>22</v>
      </c>
      <c r="H2008">
        <v>19</v>
      </c>
      <c r="I2008">
        <v>68</v>
      </c>
      <c r="J2008">
        <v>48</v>
      </c>
      <c r="K2008">
        <f t="shared" si="33"/>
        <v>5</v>
      </c>
    </row>
    <row r="2009" spans="2:11" x14ac:dyDescent="0.35">
      <c r="B2009" t="s">
        <v>2005</v>
      </c>
      <c r="C2009">
        <v>8</v>
      </c>
      <c r="D2009">
        <v>0</v>
      </c>
      <c r="E2009">
        <v>0</v>
      </c>
      <c r="F2009">
        <v>0</v>
      </c>
      <c r="G2009">
        <v>0</v>
      </c>
      <c r="H2009">
        <v>1</v>
      </c>
      <c r="I2009">
        <v>1</v>
      </c>
      <c r="J2009">
        <v>7</v>
      </c>
      <c r="K2009">
        <f t="shared" si="33"/>
        <v>2</v>
      </c>
    </row>
    <row r="2010" spans="2:11" x14ac:dyDescent="0.35">
      <c r="B2010" t="s">
        <v>2006</v>
      </c>
      <c r="C2010">
        <v>11</v>
      </c>
      <c r="D2010">
        <v>0</v>
      </c>
      <c r="E2010">
        <v>0</v>
      </c>
      <c r="F2010">
        <v>0</v>
      </c>
      <c r="G2010">
        <v>1</v>
      </c>
      <c r="H2010">
        <v>0</v>
      </c>
      <c r="I2010">
        <v>4</v>
      </c>
      <c r="J2010">
        <v>7</v>
      </c>
      <c r="K2010">
        <f t="shared" si="33"/>
        <v>2</v>
      </c>
    </row>
    <row r="2011" spans="2:11" x14ac:dyDescent="0.35">
      <c r="B2011" t="s">
        <v>2007</v>
      </c>
      <c r="C2011">
        <v>13</v>
      </c>
      <c r="D2011">
        <v>0</v>
      </c>
      <c r="E2011">
        <v>0</v>
      </c>
      <c r="F2011">
        <v>0</v>
      </c>
      <c r="G2011">
        <v>0</v>
      </c>
      <c r="H2011">
        <v>1</v>
      </c>
      <c r="I2011">
        <v>2</v>
      </c>
      <c r="J2011">
        <v>11</v>
      </c>
      <c r="K2011">
        <f t="shared" si="33"/>
        <v>2</v>
      </c>
    </row>
    <row r="2012" spans="2:11" x14ac:dyDescent="0.35">
      <c r="B2012" t="s">
        <v>2008</v>
      </c>
      <c r="C2012">
        <v>9</v>
      </c>
      <c r="D2012">
        <v>0</v>
      </c>
      <c r="E2012">
        <v>0</v>
      </c>
      <c r="F2012">
        <v>1</v>
      </c>
      <c r="G2012">
        <v>0</v>
      </c>
      <c r="H2012">
        <v>1</v>
      </c>
      <c r="I2012">
        <v>0</v>
      </c>
      <c r="J2012">
        <v>8</v>
      </c>
      <c r="K2012">
        <f t="shared" si="33"/>
        <v>2</v>
      </c>
    </row>
    <row r="2013" spans="2:11" x14ac:dyDescent="0.35">
      <c r="B2013" t="s">
        <v>2009</v>
      </c>
      <c r="C2013">
        <v>18</v>
      </c>
      <c r="D2013">
        <v>0</v>
      </c>
      <c r="E2013">
        <v>0</v>
      </c>
      <c r="F2013">
        <v>0</v>
      </c>
      <c r="G2013">
        <v>2</v>
      </c>
      <c r="H2013">
        <v>7</v>
      </c>
      <c r="I2013">
        <v>3</v>
      </c>
      <c r="J2013">
        <v>7</v>
      </c>
      <c r="K2013">
        <f t="shared" si="33"/>
        <v>3</v>
      </c>
    </row>
    <row r="2014" spans="2:11" x14ac:dyDescent="0.35">
      <c r="B2014" t="s">
        <v>2010</v>
      </c>
      <c r="C2014">
        <v>4</v>
      </c>
      <c r="D2014">
        <v>1</v>
      </c>
      <c r="E2014">
        <v>0</v>
      </c>
      <c r="F2014">
        <v>0</v>
      </c>
      <c r="G2014">
        <v>0</v>
      </c>
      <c r="H2014">
        <v>0</v>
      </c>
      <c r="I2014">
        <v>2</v>
      </c>
      <c r="J2014">
        <v>2</v>
      </c>
      <c r="K2014">
        <f t="shared" si="33"/>
        <v>2</v>
      </c>
    </row>
    <row r="2015" spans="2:11" x14ac:dyDescent="0.35">
      <c r="B2015" t="s">
        <v>2011</v>
      </c>
      <c r="C2015">
        <v>90</v>
      </c>
      <c r="D2015">
        <v>4</v>
      </c>
      <c r="E2015">
        <v>0</v>
      </c>
      <c r="F2015">
        <v>0</v>
      </c>
      <c r="G2015">
        <v>7</v>
      </c>
      <c r="H2015">
        <v>10</v>
      </c>
      <c r="I2015">
        <v>33</v>
      </c>
      <c r="J2015">
        <v>37</v>
      </c>
      <c r="K2015">
        <f t="shared" si="33"/>
        <v>4</v>
      </c>
    </row>
    <row r="2016" spans="2:11" x14ac:dyDescent="0.35">
      <c r="B2016" t="s">
        <v>2012</v>
      </c>
      <c r="C2016">
        <v>23</v>
      </c>
      <c r="D2016">
        <v>2</v>
      </c>
      <c r="E2016">
        <v>1</v>
      </c>
      <c r="F2016">
        <v>0</v>
      </c>
      <c r="G2016">
        <v>0</v>
      </c>
      <c r="H2016">
        <v>1</v>
      </c>
      <c r="I2016">
        <v>7</v>
      </c>
      <c r="J2016">
        <v>13</v>
      </c>
      <c r="K2016">
        <f t="shared" si="33"/>
        <v>4</v>
      </c>
    </row>
    <row r="2017" spans="2:11" x14ac:dyDescent="0.35">
      <c r="B2017" t="s">
        <v>2013</v>
      </c>
      <c r="C2017">
        <v>13</v>
      </c>
      <c r="D2017">
        <v>0</v>
      </c>
      <c r="E2017">
        <v>0</v>
      </c>
      <c r="F2017">
        <v>0</v>
      </c>
      <c r="G2017">
        <v>0</v>
      </c>
      <c r="H2017">
        <v>1</v>
      </c>
      <c r="I2017">
        <v>9</v>
      </c>
      <c r="J2017">
        <v>4</v>
      </c>
      <c r="K2017">
        <f t="shared" si="33"/>
        <v>2</v>
      </c>
    </row>
    <row r="2018" spans="2:11" x14ac:dyDescent="0.35">
      <c r="B2018" t="s">
        <v>2014</v>
      </c>
      <c r="C2018">
        <v>13</v>
      </c>
      <c r="D2018">
        <v>0</v>
      </c>
      <c r="E2018">
        <v>0</v>
      </c>
      <c r="F2018">
        <v>0</v>
      </c>
      <c r="G2018">
        <v>0</v>
      </c>
      <c r="H2018">
        <v>1</v>
      </c>
      <c r="I2018">
        <v>9</v>
      </c>
      <c r="J2018">
        <v>4</v>
      </c>
      <c r="K2018">
        <f t="shared" si="33"/>
        <v>2</v>
      </c>
    </row>
    <row r="2019" spans="2:11" x14ac:dyDescent="0.35">
      <c r="B2019" t="s">
        <v>2015</v>
      </c>
      <c r="C2019">
        <v>18</v>
      </c>
      <c r="D2019">
        <v>0</v>
      </c>
      <c r="E2019">
        <v>0</v>
      </c>
      <c r="F2019">
        <v>0</v>
      </c>
      <c r="G2019">
        <v>0</v>
      </c>
      <c r="H2019">
        <v>2</v>
      </c>
      <c r="I2019">
        <v>8</v>
      </c>
      <c r="J2019">
        <v>9</v>
      </c>
      <c r="K2019">
        <f t="shared" si="33"/>
        <v>2</v>
      </c>
    </row>
    <row r="2020" spans="2:11" x14ac:dyDescent="0.35">
      <c r="B2020" t="s">
        <v>2016</v>
      </c>
      <c r="C2020">
        <v>22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10</v>
      </c>
      <c r="J2020">
        <v>13</v>
      </c>
      <c r="K2020">
        <f t="shared" si="33"/>
        <v>1</v>
      </c>
    </row>
    <row r="2021" spans="2:11" x14ac:dyDescent="0.35">
      <c r="B2021" t="s">
        <v>2017</v>
      </c>
      <c r="C2021">
        <v>13</v>
      </c>
      <c r="D2021">
        <v>0</v>
      </c>
      <c r="E2021">
        <v>0</v>
      </c>
      <c r="F2021">
        <v>0</v>
      </c>
      <c r="G2021">
        <v>0</v>
      </c>
      <c r="H2021">
        <v>1</v>
      </c>
      <c r="I2021">
        <v>9</v>
      </c>
      <c r="J2021">
        <v>4</v>
      </c>
      <c r="K2021">
        <f t="shared" si="33"/>
        <v>2</v>
      </c>
    </row>
    <row r="2022" spans="2:11" x14ac:dyDescent="0.35">
      <c r="B2022" t="s">
        <v>2018</v>
      </c>
      <c r="C2022">
        <v>8</v>
      </c>
      <c r="D2022">
        <v>0</v>
      </c>
      <c r="E2022">
        <v>0</v>
      </c>
      <c r="F2022">
        <v>0</v>
      </c>
      <c r="G2022">
        <v>0</v>
      </c>
      <c r="H2022">
        <v>2</v>
      </c>
      <c r="I2022">
        <v>2</v>
      </c>
      <c r="J2022">
        <v>5</v>
      </c>
      <c r="K2022">
        <f t="shared" si="33"/>
        <v>2</v>
      </c>
    </row>
    <row r="2023" spans="2:11" x14ac:dyDescent="0.35">
      <c r="B2023" t="s">
        <v>2019</v>
      </c>
      <c r="C2023">
        <v>13</v>
      </c>
      <c r="D2023">
        <v>0</v>
      </c>
      <c r="E2023">
        <v>0</v>
      </c>
      <c r="F2023">
        <v>0</v>
      </c>
      <c r="G2023">
        <v>0</v>
      </c>
      <c r="H2023">
        <v>1</v>
      </c>
      <c r="I2023">
        <v>9</v>
      </c>
      <c r="J2023">
        <v>4</v>
      </c>
      <c r="K2023">
        <f t="shared" si="33"/>
        <v>2</v>
      </c>
    </row>
    <row r="2024" spans="2:11" x14ac:dyDescent="0.35">
      <c r="B2024" t="s">
        <v>2020</v>
      </c>
      <c r="C2024">
        <v>16</v>
      </c>
      <c r="D2024">
        <v>0</v>
      </c>
      <c r="E2024">
        <v>0</v>
      </c>
      <c r="F2024">
        <v>0</v>
      </c>
      <c r="G2024">
        <v>0</v>
      </c>
      <c r="H2024">
        <v>2</v>
      </c>
      <c r="I2024">
        <v>11</v>
      </c>
      <c r="J2024">
        <v>4</v>
      </c>
      <c r="K2024">
        <f t="shared" si="33"/>
        <v>2</v>
      </c>
    </row>
    <row r="2025" spans="2:11" x14ac:dyDescent="0.35">
      <c r="B2025" t="s">
        <v>2021</v>
      </c>
      <c r="C2025">
        <v>6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4</v>
      </c>
      <c r="J2025">
        <v>3</v>
      </c>
      <c r="K2025">
        <f t="shared" si="33"/>
        <v>1</v>
      </c>
    </row>
    <row r="2026" spans="2:11" x14ac:dyDescent="0.35">
      <c r="B2026" t="s">
        <v>2022</v>
      </c>
      <c r="C2026">
        <v>13</v>
      </c>
      <c r="D2026">
        <v>0</v>
      </c>
      <c r="E2026">
        <v>0</v>
      </c>
      <c r="F2026">
        <v>0</v>
      </c>
      <c r="G2026">
        <v>0</v>
      </c>
      <c r="H2026">
        <v>1</v>
      </c>
      <c r="I2026">
        <v>9</v>
      </c>
      <c r="J2026">
        <v>4</v>
      </c>
      <c r="K2026">
        <f t="shared" si="33"/>
        <v>2</v>
      </c>
    </row>
    <row r="2027" spans="2:11" x14ac:dyDescent="0.35">
      <c r="B2027" t="s">
        <v>2023</v>
      </c>
      <c r="C2027">
        <v>13</v>
      </c>
      <c r="D2027">
        <v>0</v>
      </c>
      <c r="E2027">
        <v>0</v>
      </c>
      <c r="F2027">
        <v>0</v>
      </c>
      <c r="G2027">
        <v>0</v>
      </c>
      <c r="H2027">
        <v>1</v>
      </c>
      <c r="I2027">
        <v>9</v>
      </c>
      <c r="J2027">
        <v>4</v>
      </c>
      <c r="K2027">
        <f t="shared" si="33"/>
        <v>2</v>
      </c>
    </row>
    <row r="2028" spans="2:11" x14ac:dyDescent="0.35">
      <c r="B2028" t="s">
        <v>2024</v>
      </c>
      <c r="C2028">
        <v>25</v>
      </c>
      <c r="D2028">
        <v>1</v>
      </c>
      <c r="E2028">
        <v>1</v>
      </c>
      <c r="F2028">
        <v>1</v>
      </c>
      <c r="G2028">
        <v>0</v>
      </c>
      <c r="H2028">
        <v>0</v>
      </c>
      <c r="I2028">
        <v>3</v>
      </c>
      <c r="J2028">
        <v>20</v>
      </c>
      <c r="K2028">
        <f t="shared" si="33"/>
        <v>4</v>
      </c>
    </row>
    <row r="2029" spans="2:11" x14ac:dyDescent="0.35">
      <c r="B2029" t="s">
        <v>2025</v>
      </c>
      <c r="C2029">
        <v>186</v>
      </c>
      <c r="D2029">
        <v>13</v>
      </c>
      <c r="E2029">
        <v>1</v>
      </c>
      <c r="F2029">
        <v>1</v>
      </c>
      <c r="G2029">
        <v>7</v>
      </c>
      <c r="H2029">
        <v>55</v>
      </c>
      <c r="I2029">
        <v>39</v>
      </c>
      <c r="J2029">
        <v>71</v>
      </c>
      <c r="K2029">
        <f t="shared" si="33"/>
        <v>6</v>
      </c>
    </row>
    <row r="2030" spans="2:11" x14ac:dyDescent="0.35">
      <c r="B2030" t="s">
        <v>2026</v>
      </c>
      <c r="C2030">
        <v>28</v>
      </c>
      <c r="D2030">
        <v>0</v>
      </c>
      <c r="E2030">
        <v>0</v>
      </c>
      <c r="F2030">
        <v>0</v>
      </c>
      <c r="G2030">
        <v>3</v>
      </c>
      <c r="H2030">
        <v>5</v>
      </c>
      <c r="I2030">
        <v>7</v>
      </c>
      <c r="J2030">
        <v>14</v>
      </c>
      <c r="K2030">
        <f t="shared" si="33"/>
        <v>3</v>
      </c>
    </row>
    <row r="2031" spans="2:11" x14ac:dyDescent="0.35">
      <c r="B2031" t="s">
        <v>2027</v>
      </c>
      <c r="C2031">
        <v>25</v>
      </c>
      <c r="D2031">
        <v>4</v>
      </c>
      <c r="E2031">
        <v>0</v>
      </c>
      <c r="F2031">
        <v>0</v>
      </c>
      <c r="G2031">
        <v>1</v>
      </c>
      <c r="H2031">
        <v>1</v>
      </c>
      <c r="I2031">
        <v>9</v>
      </c>
      <c r="J2031">
        <v>11</v>
      </c>
      <c r="K2031">
        <f t="shared" si="33"/>
        <v>4</v>
      </c>
    </row>
    <row r="2032" spans="2:11" x14ac:dyDescent="0.35">
      <c r="B2032" t="s">
        <v>2028</v>
      </c>
      <c r="C2032">
        <v>56</v>
      </c>
      <c r="D2032">
        <v>2</v>
      </c>
      <c r="E2032">
        <v>0</v>
      </c>
      <c r="F2032">
        <v>0</v>
      </c>
      <c r="G2032">
        <v>4</v>
      </c>
      <c r="H2032">
        <v>6</v>
      </c>
      <c r="I2032">
        <v>28</v>
      </c>
      <c r="J2032">
        <v>17</v>
      </c>
      <c r="K2032">
        <f t="shared" si="33"/>
        <v>4</v>
      </c>
    </row>
    <row r="2033" spans="2:11" x14ac:dyDescent="0.35">
      <c r="B2033" t="s">
        <v>2029</v>
      </c>
      <c r="C2033">
        <v>60</v>
      </c>
      <c r="D2033">
        <v>5</v>
      </c>
      <c r="E2033">
        <v>0</v>
      </c>
      <c r="F2033">
        <v>0</v>
      </c>
      <c r="G2033">
        <v>5</v>
      </c>
      <c r="H2033">
        <v>3</v>
      </c>
      <c r="I2033">
        <v>12</v>
      </c>
      <c r="J2033">
        <v>36</v>
      </c>
      <c r="K2033">
        <f t="shared" si="33"/>
        <v>4</v>
      </c>
    </row>
    <row r="2034" spans="2:11" x14ac:dyDescent="0.35">
      <c r="B2034" t="s">
        <v>2030</v>
      </c>
      <c r="C2034">
        <v>19</v>
      </c>
      <c r="D2034">
        <v>2</v>
      </c>
      <c r="E2034">
        <v>0</v>
      </c>
      <c r="F2034">
        <v>0</v>
      </c>
      <c r="G2034">
        <v>0</v>
      </c>
      <c r="H2034">
        <v>8</v>
      </c>
      <c r="I2034">
        <v>6</v>
      </c>
      <c r="J2034">
        <v>4</v>
      </c>
      <c r="K2034">
        <f t="shared" si="33"/>
        <v>3</v>
      </c>
    </row>
    <row r="2035" spans="2:11" x14ac:dyDescent="0.35">
      <c r="B2035" t="s">
        <v>2031</v>
      </c>
      <c r="C2035">
        <v>41</v>
      </c>
      <c r="D2035">
        <v>1</v>
      </c>
      <c r="E2035">
        <v>0</v>
      </c>
      <c r="F2035">
        <v>0</v>
      </c>
      <c r="G2035">
        <v>2</v>
      </c>
      <c r="H2035">
        <v>10</v>
      </c>
      <c r="I2035">
        <v>7</v>
      </c>
      <c r="J2035">
        <v>22</v>
      </c>
      <c r="K2035">
        <f t="shared" si="33"/>
        <v>4</v>
      </c>
    </row>
    <row r="2036" spans="2:11" x14ac:dyDescent="0.35">
      <c r="B2036" t="s">
        <v>2032</v>
      </c>
      <c r="C2036">
        <v>24</v>
      </c>
      <c r="D2036">
        <v>2</v>
      </c>
      <c r="E2036">
        <v>0</v>
      </c>
      <c r="F2036">
        <v>0</v>
      </c>
      <c r="G2036">
        <v>3</v>
      </c>
      <c r="H2036">
        <v>8</v>
      </c>
      <c r="I2036">
        <v>6</v>
      </c>
      <c r="J2036">
        <v>6</v>
      </c>
      <c r="K2036">
        <f t="shared" si="33"/>
        <v>4</v>
      </c>
    </row>
    <row r="2037" spans="2:11" x14ac:dyDescent="0.35">
      <c r="B2037" t="s">
        <v>2033</v>
      </c>
      <c r="C2037">
        <v>11</v>
      </c>
      <c r="D2037">
        <v>2</v>
      </c>
      <c r="E2037">
        <v>0</v>
      </c>
      <c r="F2037">
        <v>0</v>
      </c>
      <c r="G2037">
        <v>1</v>
      </c>
      <c r="H2037">
        <v>1</v>
      </c>
      <c r="I2037">
        <v>5</v>
      </c>
      <c r="J2037">
        <v>3</v>
      </c>
      <c r="K2037">
        <f t="shared" si="33"/>
        <v>4</v>
      </c>
    </row>
    <row r="2038" spans="2:11" x14ac:dyDescent="0.35">
      <c r="B2038" t="s">
        <v>2034</v>
      </c>
      <c r="C2038">
        <v>42</v>
      </c>
      <c r="D2038">
        <v>2</v>
      </c>
      <c r="E2038">
        <v>1</v>
      </c>
      <c r="F2038">
        <v>1</v>
      </c>
      <c r="G2038">
        <v>0</v>
      </c>
      <c r="H2038">
        <v>3</v>
      </c>
      <c r="I2038">
        <v>16</v>
      </c>
      <c r="J2038">
        <v>20</v>
      </c>
      <c r="K2038">
        <f t="shared" si="33"/>
        <v>5</v>
      </c>
    </row>
    <row r="2039" spans="2:11" x14ac:dyDescent="0.35">
      <c r="B2039" t="s">
        <v>2035</v>
      </c>
      <c r="C2039">
        <v>15</v>
      </c>
      <c r="D2039">
        <v>2</v>
      </c>
      <c r="E2039">
        <v>0</v>
      </c>
      <c r="F2039">
        <v>0</v>
      </c>
      <c r="G2039">
        <v>1</v>
      </c>
      <c r="H2039">
        <v>1</v>
      </c>
      <c r="I2039">
        <v>6</v>
      </c>
      <c r="J2039">
        <v>6</v>
      </c>
      <c r="K2039">
        <f t="shared" si="33"/>
        <v>4</v>
      </c>
    </row>
    <row r="2040" spans="2:11" x14ac:dyDescent="0.35">
      <c r="B2040" t="s">
        <v>2036</v>
      </c>
      <c r="C2040">
        <v>64</v>
      </c>
      <c r="D2040">
        <v>3</v>
      </c>
      <c r="E2040">
        <v>1</v>
      </c>
      <c r="F2040">
        <v>0</v>
      </c>
      <c r="G2040">
        <v>7</v>
      </c>
      <c r="H2040">
        <v>10</v>
      </c>
      <c r="I2040">
        <v>17</v>
      </c>
      <c r="J2040">
        <v>27</v>
      </c>
      <c r="K2040">
        <f t="shared" si="33"/>
        <v>5</v>
      </c>
    </row>
    <row r="2041" spans="2:11" x14ac:dyDescent="0.35">
      <c r="B2041" t="s">
        <v>2037</v>
      </c>
      <c r="C2041">
        <v>21</v>
      </c>
      <c r="D2041">
        <v>3</v>
      </c>
      <c r="E2041">
        <v>0</v>
      </c>
      <c r="F2041">
        <v>0</v>
      </c>
      <c r="G2041">
        <v>0</v>
      </c>
      <c r="H2041">
        <v>9</v>
      </c>
      <c r="I2041">
        <v>6</v>
      </c>
      <c r="J2041">
        <v>4</v>
      </c>
      <c r="K2041">
        <f t="shared" si="33"/>
        <v>3</v>
      </c>
    </row>
    <row r="2042" spans="2:11" x14ac:dyDescent="0.35">
      <c r="B2042" t="s">
        <v>2038</v>
      </c>
      <c r="C2042">
        <v>18</v>
      </c>
      <c r="D2042">
        <v>2</v>
      </c>
      <c r="E2042">
        <v>0</v>
      </c>
      <c r="F2042">
        <v>0</v>
      </c>
      <c r="G2042">
        <v>0</v>
      </c>
      <c r="H2042">
        <v>8</v>
      </c>
      <c r="I2042">
        <v>6</v>
      </c>
      <c r="J2042">
        <v>3</v>
      </c>
      <c r="K2042">
        <f t="shared" si="33"/>
        <v>3</v>
      </c>
    </row>
    <row r="2043" spans="2:11" x14ac:dyDescent="0.35">
      <c r="B2043" t="s">
        <v>2039</v>
      </c>
      <c r="C2043">
        <v>30</v>
      </c>
      <c r="D2043">
        <v>2</v>
      </c>
      <c r="E2043">
        <v>1</v>
      </c>
      <c r="F2043">
        <v>0</v>
      </c>
      <c r="G2043">
        <v>2</v>
      </c>
      <c r="H2043">
        <v>8</v>
      </c>
      <c r="I2043">
        <v>11</v>
      </c>
      <c r="J2043">
        <v>7</v>
      </c>
      <c r="K2043">
        <f t="shared" si="33"/>
        <v>5</v>
      </c>
    </row>
    <row r="2044" spans="2:11" x14ac:dyDescent="0.35">
      <c r="B2044" t="s">
        <v>2040</v>
      </c>
      <c r="C2044">
        <v>34</v>
      </c>
      <c r="D2044">
        <v>3</v>
      </c>
      <c r="E2044">
        <v>0</v>
      </c>
      <c r="F2044">
        <v>0</v>
      </c>
      <c r="G2044">
        <v>0</v>
      </c>
      <c r="H2044">
        <v>9</v>
      </c>
      <c r="I2044">
        <v>18</v>
      </c>
      <c r="J2044">
        <v>5</v>
      </c>
      <c r="K2044">
        <f t="shared" si="33"/>
        <v>3</v>
      </c>
    </row>
    <row r="2045" spans="2:11" x14ac:dyDescent="0.35">
      <c r="B2045" t="s">
        <v>2041</v>
      </c>
      <c r="C2045">
        <v>13</v>
      </c>
      <c r="D2045">
        <v>2</v>
      </c>
      <c r="E2045">
        <v>0</v>
      </c>
      <c r="F2045">
        <v>0</v>
      </c>
      <c r="G2045">
        <v>1</v>
      </c>
      <c r="H2045">
        <v>1</v>
      </c>
      <c r="I2045">
        <v>6</v>
      </c>
      <c r="J2045">
        <v>4</v>
      </c>
      <c r="K2045">
        <f t="shared" si="33"/>
        <v>4</v>
      </c>
    </row>
    <row r="2046" spans="2:11" x14ac:dyDescent="0.35">
      <c r="B2046" t="s">
        <v>2042</v>
      </c>
      <c r="C2046">
        <v>70</v>
      </c>
      <c r="D2046">
        <v>9</v>
      </c>
      <c r="E2046">
        <v>0</v>
      </c>
      <c r="F2046">
        <v>0</v>
      </c>
      <c r="G2046">
        <v>2</v>
      </c>
      <c r="H2046">
        <v>14</v>
      </c>
      <c r="I2046">
        <v>27</v>
      </c>
      <c r="J2046">
        <v>19</v>
      </c>
      <c r="K2046">
        <f t="shared" si="33"/>
        <v>4</v>
      </c>
    </row>
    <row r="2047" spans="2:11" x14ac:dyDescent="0.35">
      <c r="B2047" t="s">
        <v>2043</v>
      </c>
      <c r="C2047">
        <v>20</v>
      </c>
      <c r="D2047">
        <v>1</v>
      </c>
      <c r="E2047">
        <v>0</v>
      </c>
      <c r="F2047">
        <v>0</v>
      </c>
      <c r="G2047">
        <v>2</v>
      </c>
      <c r="H2047">
        <v>1</v>
      </c>
      <c r="I2047">
        <v>8</v>
      </c>
      <c r="J2047">
        <v>9</v>
      </c>
      <c r="K2047">
        <f t="shared" si="33"/>
        <v>4</v>
      </c>
    </row>
    <row r="2048" spans="2:11" x14ac:dyDescent="0.35">
      <c r="B2048" t="s">
        <v>2044</v>
      </c>
      <c r="C2048">
        <v>23</v>
      </c>
      <c r="D2048">
        <v>1</v>
      </c>
      <c r="E2048">
        <v>0</v>
      </c>
      <c r="F2048">
        <v>0</v>
      </c>
      <c r="G2048">
        <v>0</v>
      </c>
      <c r="H2048">
        <v>1</v>
      </c>
      <c r="I2048">
        <v>7</v>
      </c>
      <c r="J2048">
        <v>15</v>
      </c>
      <c r="K2048">
        <f t="shared" si="33"/>
        <v>3</v>
      </c>
    </row>
    <row r="2049" spans="2:11" x14ac:dyDescent="0.35">
      <c r="B2049" t="s">
        <v>2045</v>
      </c>
      <c r="C2049">
        <v>200</v>
      </c>
      <c r="D2049">
        <v>18</v>
      </c>
      <c r="E2049">
        <v>1</v>
      </c>
      <c r="F2049">
        <v>0</v>
      </c>
      <c r="G2049">
        <v>8</v>
      </c>
      <c r="H2049">
        <v>21</v>
      </c>
      <c r="I2049">
        <v>75</v>
      </c>
      <c r="J2049">
        <v>78</v>
      </c>
      <c r="K2049">
        <f t="shared" si="33"/>
        <v>5</v>
      </c>
    </row>
    <row r="2050" spans="2:11" x14ac:dyDescent="0.35">
      <c r="B2050" t="s">
        <v>2046</v>
      </c>
      <c r="C2050">
        <v>40</v>
      </c>
      <c r="D2050">
        <v>7</v>
      </c>
      <c r="E2050">
        <v>0</v>
      </c>
      <c r="F2050">
        <v>0</v>
      </c>
      <c r="G2050">
        <v>8</v>
      </c>
      <c r="H2050">
        <v>3</v>
      </c>
      <c r="I2050">
        <v>13</v>
      </c>
      <c r="J2050">
        <v>10</v>
      </c>
      <c r="K2050">
        <f t="shared" si="33"/>
        <v>4</v>
      </c>
    </row>
    <row r="2051" spans="2:11" x14ac:dyDescent="0.35">
      <c r="B2051" t="s">
        <v>2047</v>
      </c>
      <c r="C2051">
        <v>36</v>
      </c>
      <c r="D2051">
        <v>1</v>
      </c>
      <c r="E2051">
        <v>0</v>
      </c>
      <c r="F2051">
        <v>0</v>
      </c>
      <c r="G2051">
        <v>4</v>
      </c>
      <c r="H2051">
        <v>5</v>
      </c>
      <c r="I2051">
        <v>12</v>
      </c>
      <c r="J2051">
        <v>15</v>
      </c>
      <c r="K2051">
        <f t="shared" si="33"/>
        <v>4</v>
      </c>
    </row>
    <row r="2052" spans="2:11" x14ac:dyDescent="0.35">
      <c r="B2052" t="s">
        <v>2048</v>
      </c>
      <c r="C2052">
        <v>22</v>
      </c>
      <c r="D2052">
        <v>3</v>
      </c>
      <c r="E2052">
        <v>0</v>
      </c>
      <c r="F2052">
        <v>0</v>
      </c>
      <c r="G2052">
        <v>0</v>
      </c>
      <c r="H2052">
        <v>2</v>
      </c>
      <c r="I2052">
        <v>6</v>
      </c>
      <c r="J2052">
        <v>12</v>
      </c>
      <c r="K2052">
        <f t="shared" si="33"/>
        <v>3</v>
      </c>
    </row>
    <row r="2053" spans="2:11" x14ac:dyDescent="0.35">
      <c r="B2053" t="s">
        <v>2049</v>
      </c>
      <c r="C2053">
        <v>130</v>
      </c>
      <c r="D2053">
        <v>3</v>
      </c>
      <c r="E2053">
        <v>1</v>
      </c>
      <c r="F2053">
        <v>1</v>
      </c>
      <c r="G2053">
        <v>1</v>
      </c>
      <c r="H2053">
        <v>44</v>
      </c>
      <c r="I2053">
        <v>10</v>
      </c>
      <c r="J2053">
        <v>71</v>
      </c>
      <c r="K2053">
        <f t="shared" si="33"/>
        <v>6</v>
      </c>
    </row>
    <row r="2054" spans="2:11" x14ac:dyDescent="0.35">
      <c r="B2054" t="s">
        <v>2050</v>
      </c>
      <c r="C2054">
        <v>39</v>
      </c>
      <c r="D2054">
        <v>5</v>
      </c>
      <c r="E2054">
        <v>0</v>
      </c>
      <c r="F2054">
        <v>0</v>
      </c>
      <c r="G2054">
        <v>4</v>
      </c>
      <c r="H2054">
        <v>2</v>
      </c>
      <c r="I2054">
        <v>23</v>
      </c>
      <c r="J2054">
        <v>6</v>
      </c>
      <c r="K2054">
        <f t="shared" si="33"/>
        <v>4</v>
      </c>
    </row>
    <row r="2055" spans="2:11" x14ac:dyDescent="0.35">
      <c r="B2055" t="s">
        <v>2051</v>
      </c>
      <c r="C2055">
        <v>44</v>
      </c>
      <c r="D2055">
        <v>2</v>
      </c>
      <c r="E2055">
        <v>0</v>
      </c>
      <c r="F2055">
        <v>0</v>
      </c>
      <c r="G2055">
        <v>5</v>
      </c>
      <c r="H2055">
        <v>10</v>
      </c>
      <c r="I2055">
        <v>16</v>
      </c>
      <c r="J2055">
        <v>12</v>
      </c>
      <c r="K2055">
        <f t="shared" si="33"/>
        <v>4</v>
      </c>
    </row>
    <row r="2056" spans="2:11" x14ac:dyDescent="0.35">
      <c r="B2056" t="s">
        <v>2052</v>
      </c>
      <c r="C2056">
        <v>42</v>
      </c>
      <c r="D2056">
        <v>0</v>
      </c>
      <c r="E2056">
        <v>0</v>
      </c>
      <c r="F2056">
        <v>0</v>
      </c>
      <c r="G2056">
        <v>7</v>
      </c>
      <c r="H2056">
        <v>5</v>
      </c>
      <c r="I2056">
        <v>10</v>
      </c>
      <c r="J2056">
        <v>21</v>
      </c>
      <c r="K2056">
        <f t="shared" si="33"/>
        <v>3</v>
      </c>
    </row>
    <row r="2057" spans="2:11" x14ac:dyDescent="0.35">
      <c r="B2057" t="s">
        <v>2053</v>
      </c>
      <c r="C2057">
        <v>18</v>
      </c>
      <c r="D2057">
        <v>3</v>
      </c>
      <c r="E2057">
        <v>0</v>
      </c>
      <c r="F2057">
        <v>0</v>
      </c>
      <c r="G2057">
        <v>0</v>
      </c>
      <c r="H2057">
        <v>8</v>
      </c>
      <c r="I2057">
        <v>6</v>
      </c>
      <c r="J2057">
        <v>2</v>
      </c>
      <c r="K2057">
        <f t="shared" si="33"/>
        <v>3</v>
      </c>
    </row>
    <row r="2058" spans="2:11" x14ac:dyDescent="0.35">
      <c r="B2058" t="s">
        <v>2054</v>
      </c>
      <c r="C2058">
        <v>30</v>
      </c>
      <c r="D2058">
        <v>4</v>
      </c>
      <c r="E2058">
        <v>0</v>
      </c>
      <c r="F2058">
        <v>0</v>
      </c>
      <c r="G2058">
        <v>0</v>
      </c>
      <c r="H2058">
        <v>13</v>
      </c>
      <c r="I2058">
        <v>6</v>
      </c>
      <c r="J2058">
        <v>8</v>
      </c>
      <c r="K2058">
        <f t="shared" si="33"/>
        <v>3</v>
      </c>
    </row>
    <row r="2059" spans="2:11" x14ac:dyDescent="0.35">
      <c r="B2059" t="s">
        <v>2055</v>
      </c>
      <c r="C2059">
        <v>85</v>
      </c>
      <c r="D2059">
        <v>6</v>
      </c>
      <c r="E2059">
        <v>1</v>
      </c>
      <c r="F2059">
        <v>0</v>
      </c>
      <c r="G2059">
        <v>19</v>
      </c>
      <c r="H2059">
        <v>13</v>
      </c>
      <c r="I2059">
        <v>30</v>
      </c>
      <c r="J2059">
        <v>17</v>
      </c>
      <c r="K2059">
        <f t="shared" si="33"/>
        <v>5</v>
      </c>
    </row>
    <row r="2060" spans="2:11" x14ac:dyDescent="0.35">
      <c r="B2060" t="s">
        <v>2056</v>
      </c>
      <c r="C2060">
        <v>46</v>
      </c>
      <c r="D2060">
        <v>1</v>
      </c>
      <c r="E2060">
        <v>3</v>
      </c>
      <c r="F2060">
        <v>2</v>
      </c>
      <c r="G2060">
        <v>3</v>
      </c>
      <c r="H2060">
        <v>1</v>
      </c>
      <c r="I2060">
        <v>2</v>
      </c>
      <c r="J2060">
        <v>35</v>
      </c>
      <c r="K2060">
        <f t="shared" ref="K2060:K2123" si="34">COUNTIF(D2060:I2060, "&gt;0")</f>
        <v>6</v>
      </c>
    </row>
    <row r="2061" spans="2:11" x14ac:dyDescent="0.35">
      <c r="B2061" t="s">
        <v>2057</v>
      </c>
      <c r="C2061">
        <v>23</v>
      </c>
      <c r="D2061">
        <v>0</v>
      </c>
      <c r="E2061">
        <v>0</v>
      </c>
      <c r="F2061">
        <v>0</v>
      </c>
      <c r="G2061">
        <v>0</v>
      </c>
      <c r="H2061">
        <v>3</v>
      </c>
      <c r="I2061">
        <v>8</v>
      </c>
      <c r="J2061">
        <v>13</v>
      </c>
      <c r="K2061">
        <f t="shared" si="34"/>
        <v>2</v>
      </c>
    </row>
    <row r="2062" spans="2:11" x14ac:dyDescent="0.35">
      <c r="B2062" t="s">
        <v>2058</v>
      </c>
      <c r="C2062">
        <v>14</v>
      </c>
      <c r="D2062">
        <v>0</v>
      </c>
      <c r="E2062">
        <v>0</v>
      </c>
      <c r="F2062">
        <v>0</v>
      </c>
      <c r="G2062">
        <v>1</v>
      </c>
      <c r="H2062">
        <v>2</v>
      </c>
      <c r="I2062">
        <v>6</v>
      </c>
      <c r="J2062">
        <v>6</v>
      </c>
      <c r="K2062">
        <f t="shared" si="34"/>
        <v>3</v>
      </c>
    </row>
    <row r="2063" spans="2:11" x14ac:dyDescent="0.35">
      <c r="B2063" t="s">
        <v>2059</v>
      </c>
      <c r="C2063">
        <v>9</v>
      </c>
      <c r="D2063">
        <v>1</v>
      </c>
      <c r="E2063">
        <v>0</v>
      </c>
      <c r="F2063">
        <v>1</v>
      </c>
      <c r="G2063">
        <v>0</v>
      </c>
      <c r="H2063">
        <v>0</v>
      </c>
      <c r="I2063">
        <v>2</v>
      </c>
      <c r="J2063">
        <v>6</v>
      </c>
      <c r="K2063">
        <f t="shared" si="34"/>
        <v>3</v>
      </c>
    </row>
    <row r="2064" spans="2:11" x14ac:dyDescent="0.35">
      <c r="B2064" t="s">
        <v>2060</v>
      </c>
      <c r="C2064">
        <v>55</v>
      </c>
      <c r="D2064">
        <v>1</v>
      </c>
      <c r="E2064">
        <v>0</v>
      </c>
      <c r="F2064">
        <v>0</v>
      </c>
      <c r="G2064">
        <v>0</v>
      </c>
      <c r="H2064">
        <v>6</v>
      </c>
      <c r="I2064">
        <v>17</v>
      </c>
      <c r="J2064">
        <v>32</v>
      </c>
      <c r="K2064">
        <f t="shared" si="34"/>
        <v>3</v>
      </c>
    </row>
    <row r="2065" spans="2:11" x14ac:dyDescent="0.35">
      <c r="B2065" t="s">
        <v>2061</v>
      </c>
      <c r="C2065">
        <v>10</v>
      </c>
      <c r="D2065">
        <v>1</v>
      </c>
      <c r="E2065">
        <v>0</v>
      </c>
      <c r="F2065">
        <v>1</v>
      </c>
      <c r="G2065">
        <v>2</v>
      </c>
      <c r="H2065">
        <v>0</v>
      </c>
      <c r="I2065">
        <v>5</v>
      </c>
      <c r="J2065">
        <v>2</v>
      </c>
      <c r="K2065">
        <f t="shared" si="34"/>
        <v>4</v>
      </c>
    </row>
    <row r="2066" spans="2:11" x14ac:dyDescent="0.35">
      <c r="B2066" t="s">
        <v>2062</v>
      </c>
      <c r="C2066">
        <v>30</v>
      </c>
      <c r="D2066">
        <v>0</v>
      </c>
      <c r="E2066">
        <v>0</v>
      </c>
      <c r="F2066">
        <v>0</v>
      </c>
      <c r="G2066">
        <v>2</v>
      </c>
      <c r="H2066">
        <v>2</v>
      </c>
      <c r="I2066">
        <v>8</v>
      </c>
      <c r="J2066">
        <v>19</v>
      </c>
      <c r="K2066">
        <f t="shared" si="34"/>
        <v>3</v>
      </c>
    </row>
    <row r="2067" spans="2:11" x14ac:dyDescent="0.35">
      <c r="B2067" t="s">
        <v>2063</v>
      </c>
      <c r="C2067">
        <v>56</v>
      </c>
      <c r="D2067">
        <v>4</v>
      </c>
      <c r="E2067">
        <v>4</v>
      </c>
      <c r="F2067">
        <v>2</v>
      </c>
      <c r="G2067">
        <v>1</v>
      </c>
      <c r="H2067">
        <v>3</v>
      </c>
      <c r="I2067">
        <v>5</v>
      </c>
      <c r="J2067">
        <v>38</v>
      </c>
      <c r="K2067">
        <f t="shared" si="34"/>
        <v>6</v>
      </c>
    </row>
    <row r="2068" spans="2:11" x14ac:dyDescent="0.35">
      <c r="B2068" t="s">
        <v>2064</v>
      </c>
      <c r="C2068">
        <v>43</v>
      </c>
      <c r="D2068">
        <v>6</v>
      </c>
      <c r="E2068">
        <v>0</v>
      </c>
      <c r="F2068">
        <v>0</v>
      </c>
      <c r="G2068">
        <v>1</v>
      </c>
      <c r="H2068">
        <v>4</v>
      </c>
      <c r="I2068">
        <v>23</v>
      </c>
      <c r="J2068">
        <v>10</v>
      </c>
      <c r="K2068">
        <f t="shared" si="34"/>
        <v>4</v>
      </c>
    </row>
    <row r="2069" spans="2:11" x14ac:dyDescent="0.35">
      <c r="B2069" t="s">
        <v>2065</v>
      </c>
      <c r="C2069">
        <v>16</v>
      </c>
      <c r="D2069">
        <v>3</v>
      </c>
      <c r="E2069">
        <v>0</v>
      </c>
      <c r="F2069">
        <v>0</v>
      </c>
      <c r="G2069">
        <v>0</v>
      </c>
      <c r="H2069">
        <v>5</v>
      </c>
      <c r="I2069">
        <v>8</v>
      </c>
      <c r="J2069">
        <v>1</v>
      </c>
      <c r="K2069">
        <f t="shared" si="34"/>
        <v>3</v>
      </c>
    </row>
    <row r="2070" spans="2:11" x14ac:dyDescent="0.35">
      <c r="B2070" t="s">
        <v>2066</v>
      </c>
      <c r="C2070">
        <v>23</v>
      </c>
      <c r="D2070">
        <v>0</v>
      </c>
      <c r="E2070">
        <v>1</v>
      </c>
      <c r="F2070">
        <v>0</v>
      </c>
      <c r="G2070">
        <v>7</v>
      </c>
      <c r="H2070">
        <v>4</v>
      </c>
      <c r="I2070">
        <v>6</v>
      </c>
      <c r="J2070">
        <v>6</v>
      </c>
      <c r="K2070">
        <f t="shared" si="34"/>
        <v>4</v>
      </c>
    </row>
    <row r="2071" spans="2:11" x14ac:dyDescent="0.35">
      <c r="B2071" t="s">
        <v>2067</v>
      </c>
      <c r="C2071">
        <v>21</v>
      </c>
      <c r="D2071">
        <v>1</v>
      </c>
      <c r="E2071">
        <v>0</v>
      </c>
      <c r="F2071">
        <v>0</v>
      </c>
      <c r="G2071">
        <v>0</v>
      </c>
      <c r="H2071">
        <v>1</v>
      </c>
      <c r="I2071">
        <v>5</v>
      </c>
      <c r="J2071">
        <v>15</v>
      </c>
      <c r="K2071">
        <f t="shared" si="34"/>
        <v>3</v>
      </c>
    </row>
    <row r="2072" spans="2:11" x14ac:dyDescent="0.35">
      <c r="B2072" t="s">
        <v>2068</v>
      </c>
      <c r="C2072">
        <v>36</v>
      </c>
      <c r="D2072">
        <v>1</v>
      </c>
      <c r="E2072">
        <v>0</v>
      </c>
      <c r="F2072">
        <v>0</v>
      </c>
      <c r="G2072">
        <v>5</v>
      </c>
      <c r="H2072">
        <v>1</v>
      </c>
      <c r="I2072">
        <v>13</v>
      </c>
      <c r="J2072">
        <v>17</v>
      </c>
      <c r="K2072">
        <f t="shared" si="34"/>
        <v>4</v>
      </c>
    </row>
    <row r="2073" spans="2:11" x14ac:dyDescent="0.35">
      <c r="B2073" t="s">
        <v>2069</v>
      </c>
      <c r="C2073">
        <v>161</v>
      </c>
      <c r="D2073">
        <v>6</v>
      </c>
      <c r="E2073">
        <v>3</v>
      </c>
      <c r="F2073">
        <v>1</v>
      </c>
      <c r="G2073">
        <v>11</v>
      </c>
      <c r="H2073">
        <v>18</v>
      </c>
      <c r="I2073">
        <v>58</v>
      </c>
      <c r="J2073">
        <v>65</v>
      </c>
      <c r="K2073">
        <f t="shared" si="34"/>
        <v>6</v>
      </c>
    </row>
    <row r="2074" spans="2:11" x14ac:dyDescent="0.35">
      <c r="B2074" t="s">
        <v>2070</v>
      </c>
      <c r="C2074">
        <v>27</v>
      </c>
      <c r="D2074">
        <v>3</v>
      </c>
      <c r="E2074">
        <v>0</v>
      </c>
      <c r="F2074">
        <v>1</v>
      </c>
      <c r="G2074">
        <v>0</v>
      </c>
      <c r="H2074">
        <v>0</v>
      </c>
      <c r="I2074">
        <v>3</v>
      </c>
      <c r="J2074">
        <v>21</v>
      </c>
      <c r="K2074">
        <f t="shared" si="34"/>
        <v>3</v>
      </c>
    </row>
    <row r="2075" spans="2:11" x14ac:dyDescent="0.35">
      <c r="B2075" t="s">
        <v>2071</v>
      </c>
      <c r="C2075">
        <v>32</v>
      </c>
      <c r="D2075">
        <v>1</v>
      </c>
      <c r="E2075">
        <v>0</v>
      </c>
      <c r="F2075">
        <v>0</v>
      </c>
      <c r="G2075">
        <v>0</v>
      </c>
      <c r="H2075">
        <v>0</v>
      </c>
      <c r="I2075">
        <v>10</v>
      </c>
      <c r="J2075">
        <v>22</v>
      </c>
      <c r="K2075">
        <f t="shared" si="34"/>
        <v>2</v>
      </c>
    </row>
    <row r="2076" spans="2:11" x14ac:dyDescent="0.35">
      <c r="B2076" t="s">
        <v>2072</v>
      </c>
      <c r="C2076">
        <v>35</v>
      </c>
      <c r="D2076">
        <v>4</v>
      </c>
      <c r="E2076">
        <v>0</v>
      </c>
      <c r="F2076">
        <v>0</v>
      </c>
      <c r="G2076">
        <v>2</v>
      </c>
      <c r="H2076">
        <v>1</v>
      </c>
      <c r="I2076">
        <v>14</v>
      </c>
      <c r="J2076">
        <v>15</v>
      </c>
      <c r="K2076">
        <f t="shared" si="34"/>
        <v>4</v>
      </c>
    </row>
    <row r="2077" spans="2:11" x14ac:dyDescent="0.35">
      <c r="B2077" t="s">
        <v>2073</v>
      </c>
      <c r="C2077">
        <v>15</v>
      </c>
      <c r="D2077">
        <v>1</v>
      </c>
      <c r="E2077">
        <v>0</v>
      </c>
      <c r="F2077">
        <v>1</v>
      </c>
      <c r="G2077">
        <v>0</v>
      </c>
      <c r="H2077">
        <v>0</v>
      </c>
      <c r="I2077">
        <v>5</v>
      </c>
      <c r="J2077">
        <v>9</v>
      </c>
      <c r="K2077">
        <f t="shared" si="34"/>
        <v>3</v>
      </c>
    </row>
    <row r="2078" spans="2:11" x14ac:dyDescent="0.35">
      <c r="B2078" t="s">
        <v>2074</v>
      </c>
      <c r="C2078">
        <v>93</v>
      </c>
      <c r="D2078">
        <v>10</v>
      </c>
      <c r="E2078">
        <v>1</v>
      </c>
      <c r="F2078">
        <v>1</v>
      </c>
      <c r="G2078">
        <v>3</v>
      </c>
      <c r="H2078">
        <v>6</v>
      </c>
      <c r="I2078">
        <v>30</v>
      </c>
      <c r="J2078">
        <v>43</v>
      </c>
      <c r="K2078">
        <f t="shared" si="34"/>
        <v>6</v>
      </c>
    </row>
    <row r="2079" spans="2:11" x14ac:dyDescent="0.35">
      <c r="B2079" t="s">
        <v>2075</v>
      </c>
      <c r="C2079">
        <v>8</v>
      </c>
      <c r="D2079">
        <v>0</v>
      </c>
      <c r="E2079">
        <v>0</v>
      </c>
      <c r="F2079">
        <v>0</v>
      </c>
      <c r="G2079">
        <v>1</v>
      </c>
      <c r="H2079">
        <v>0</v>
      </c>
      <c r="I2079">
        <v>2</v>
      </c>
      <c r="J2079">
        <v>6</v>
      </c>
      <c r="K2079">
        <f t="shared" si="34"/>
        <v>2</v>
      </c>
    </row>
    <row r="2080" spans="2:11" x14ac:dyDescent="0.35">
      <c r="B2080" t="s">
        <v>2076</v>
      </c>
      <c r="C2080">
        <v>80</v>
      </c>
      <c r="D2080">
        <v>3</v>
      </c>
      <c r="E2080">
        <v>2</v>
      </c>
      <c r="F2080">
        <v>0</v>
      </c>
      <c r="G2080">
        <v>18</v>
      </c>
      <c r="H2080">
        <v>15</v>
      </c>
      <c r="I2080">
        <v>9</v>
      </c>
      <c r="J2080">
        <v>34</v>
      </c>
      <c r="K2080">
        <f t="shared" si="34"/>
        <v>5</v>
      </c>
    </row>
    <row r="2081" spans="2:11" x14ac:dyDescent="0.35">
      <c r="B2081" t="s">
        <v>2077</v>
      </c>
      <c r="C2081">
        <v>126</v>
      </c>
      <c r="D2081">
        <v>4</v>
      </c>
      <c r="E2081">
        <v>0</v>
      </c>
      <c r="F2081">
        <v>0</v>
      </c>
      <c r="G2081">
        <v>7</v>
      </c>
      <c r="H2081">
        <v>28</v>
      </c>
      <c r="I2081">
        <v>46</v>
      </c>
      <c r="J2081">
        <v>42</v>
      </c>
      <c r="K2081">
        <f t="shared" si="34"/>
        <v>4</v>
      </c>
    </row>
    <row r="2082" spans="2:11" x14ac:dyDescent="0.35">
      <c r="B2082" t="s">
        <v>2078</v>
      </c>
      <c r="C2082">
        <v>11</v>
      </c>
      <c r="D2082">
        <v>1</v>
      </c>
      <c r="E2082">
        <v>0</v>
      </c>
      <c r="F2082">
        <v>0</v>
      </c>
      <c r="G2082">
        <v>0</v>
      </c>
      <c r="H2082">
        <v>0</v>
      </c>
      <c r="I2082">
        <v>3</v>
      </c>
      <c r="J2082">
        <v>8</v>
      </c>
      <c r="K2082">
        <f t="shared" si="34"/>
        <v>2</v>
      </c>
    </row>
    <row r="2083" spans="2:11" x14ac:dyDescent="0.35">
      <c r="B2083" t="s">
        <v>2079</v>
      </c>
      <c r="C2083">
        <v>23</v>
      </c>
      <c r="D2083">
        <v>0</v>
      </c>
      <c r="E2083">
        <v>0</v>
      </c>
      <c r="F2083">
        <v>0</v>
      </c>
      <c r="G2083">
        <v>0</v>
      </c>
      <c r="H2083">
        <v>3</v>
      </c>
      <c r="I2083">
        <v>7</v>
      </c>
      <c r="J2083">
        <v>14</v>
      </c>
      <c r="K2083">
        <f t="shared" si="34"/>
        <v>2</v>
      </c>
    </row>
    <row r="2084" spans="2:11" x14ac:dyDescent="0.35">
      <c r="B2084" t="s">
        <v>2080</v>
      </c>
      <c r="C2084">
        <v>23</v>
      </c>
      <c r="D2084">
        <v>0</v>
      </c>
      <c r="E2084">
        <v>0</v>
      </c>
      <c r="F2084">
        <v>0</v>
      </c>
      <c r="G2084">
        <v>0</v>
      </c>
      <c r="H2084">
        <v>3</v>
      </c>
      <c r="I2084">
        <v>7</v>
      </c>
      <c r="J2084">
        <v>14</v>
      </c>
      <c r="K2084">
        <f t="shared" si="34"/>
        <v>2</v>
      </c>
    </row>
    <row r="2085" spans="2:11" x14ac:dyDescent="0.35">
      <c r="B2085" t="s">
        <v>2081</v>
      </c>
      <c r="C2085">
        <v>14</v>
      </c>
      <c r="D2085">
        <v>0</v>
      </c>
      <c r="E2085">
        <v>0</v>
      </c>
      <c r="F2085">
        <v>0</v>
      </c>
      <c r="G2085">
        <v>0</v>
      </c>
      <c r="H2085">
        <v>1</v>
      </c>
      <c r="I2085">
        <v>5</v>
      </c>
      <c r="J2085">
        <v>9</v>
      </c>
      <c r="K2085">
        <f t="shared" si="34"/>
        <v>2</v>
      </c>
    </row>
    <row r="2086" spans="2:11" x14ac:dyDescent="0.35">
      <c r="B2086" t="s">
        <v>2082</v>
      </c>
      <c r="C2086">
        <v>23</v>
      </c>
      <c r="D2086">
        <v>0</v>
      </c>
      <c r="E2086">
        <v>0</v>
      </c>
      <c r="F2086">
        <v>0</v>
      </c>
      <c r="G2086">
        <v>0</v>
      </c>
      <c r="H2086">
        <v>3</v>
      </c>
      <c r="I2086">
        <v>7</v>
      </c>
      <c r="J2086">
        <v>14</v>
      </c>
      <c r="K2086">
        <f t="shared" si="34"/>
        <v>2</v>
      </c>
    </row>
    <row r="2087" spans="2:11" x14ac:dyDescent="0.35">
      <c r="B2087" t="s">
        <v>2083</v>
      </c>
      <c r="C2087">
        <v>58</v>
      </c>
      <c r="D2087">
        <v>6</v>
      </c>
      <c r="E2087">
        <v>0</v>
      </c>
      <c r="F2087">
        <v>0</v>
      </c>
      <c r="G2087">
        <v>1</v>
      </c>
      <c r="H2087">
        <v>5</v>
      </c>
      <c r="I2087">
        <v>22</v>
      </c>
      <c r="J2087">
        <v>25</v>
      </c>
      <c r="K2087">
        <f t="shared" si="34"/>
        <v>4</v>
      </c>
    </row>
    <row r="2088" spans="2:11" x14ac:dyDescent="0.35">
      <c r="B2088" t="s">
        <v>2084</v>
      </c>
      <c r="C2088">
        <v>8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2</v>
      </c>
      <c r="J2088">
        <v>7</v>
      </c>
      <c r="K2088">
        <f t="shared" si="34"/>
        <v>1</v>
      </c>
    </row>
    <row r="2089" spans="2:11" x14ac:dyDescent="0.35">
      <c r="B2089" t="s">
        <v>2085</v>
      </c>
      <c r="C2089">
        <v>36</v>
      </c>
      <c r="D2089">
        <v>5</v>
      </c>
      <c r="E2089">
        <v>0</v>
      </c>
      <c r="F2089">
        <v>0</v>
      </c>
      <c r="G2089">
        <v>0</v>
      </c>
      <c r="H2089">
        <v>3</v>
      </c>
      <c r="I2089">
        <v>13</v>
      </c>
      <c r="J2089">
        <v>16</v>
      </c>
      <c r="K2089">
        <f t="shared" si="34"/>
        <v>3</v>
      </c>
    </row>
    <row r="2090" spans="2:11" x14ac:dyDescent="0.35">
      <c r="B2090" t="s">
        <v>2086</v>
      </c>
      <c r="C2090">
        <v>26</v>
      </c>
      <c r="D2090">
        <v>0</v>
      </c>
      <c r="E2090">
        <v>0</v>
      </c>
      <c r="F2090">
        <v>0</v>
      </c>
      <c r="G2090">
        <v>5</v>
      </c>
      <c r="H2090">
        <v>9</v>
      </c>
      <c r="I2090">
        <v>1</v>
      </c>
      <c r="J2090">
        <v>12</v>
      </c>
      <c r="K2090">
        <f t="shared" si="34"/>
        <v>3</v>
      </c>
    </row>
    <row r="2091" spans="2:11" x14ac:dyDescent="0.35">
      <c r="B2091" t="s">
        <v>2087</v>
      </c>
      <c r="C2091">
        <v>40</v>
      </c>
      <c r="D2091">
        <v>5</v>
      </c>
      <c r="E2091">
        <v>0</v>
      </c>
      <c r="F2091">
        <v>0</v>
      </c>
      <c r="G2091">
        <v>0</v>
      </c>
      <c r="H2091">
        <v>0</v>
      </c>
      <c r="I2091">
        <v>17</v>
      </c>
      <c r="J2091">
        <v>19</v>
      </c>
      <c r="K2091">
        <f t="shared" si="34"/>
        <v>2</v>
      </c>
    </row>
    <row r="2092" spans="2:11" x14ac:dyDescent="0.35">
      <c r="B2092" t="s">
        <v>2088</v>
      </c>
      <c r="C2092">
        <v>26</v>
      </c>
      <c r="D2092">
        <v>8</v>
      </c>
      <c r="E2092">
        <v>0</v>
      </c>
      <c r="F2092">
        <v>2</v>
      </c>
      <c r="G2092">
        <v>0</v>
      </c>
      <c r="H2092">
        <v>0</v>
      </c>
      <c r="I2092">
        <v>9</v>
      </c>
      <c r="J2092">
        <v>8</v>
      </c>
      <c r="K2092">
        <f t="shared" si="34"/>
        <v>3</v>
      </c>
    </row>
    <row r="2093" spans="2:11" x14ac:dyDescent="0.35">
      <c r="B2093" t="s">
        <v>2089</v>
      </c>
      <c r="C2093">
        <v>30</v>
      </c>
      <c r="D2093">
        <v>0</v>
      </c>
      <c r="E2093">
        <v>0</v>
      </c>
      <c r="F2093">
        <v>0</v>
      </c>
      <c r="G2093">
        <v>1</v>
      </c>
      <c r="H2093">
        <v>2</v>
      </c>
      <c r="I2093">
        <v>6</v>
      </c>
      <c r="J2093">
        <v>22</v>
      </c>
      <c r="K2093">
        <f t="shared" si="34"/>
        <v>3</v>
      </c>
    </row>
    <row r="2094" spans="2:11" x14ac:dyDescent="0.35">
      <c r="B2094" t="s">
        <v>2090</v>
      </c>
      <c r="C2094">
        <v>83</v>
      </c>
      <c r="D2094">
        <v>2</v>
      </c>
      <c r="E2094">
        <v>1</v>
      </c>
      <c r="F2094">
        <v>0</v>
      </c>
      <c r="G2094">
        <v>5</v>
      </c>
      <c r="H2094">
        <v>8</v>
      </c>
      <c r="I2094">
        <v>17</v>
      </c>
      <c r="J2094">
        <v>51</v>
      </c>
      <c r="K2094">
        <f t="shared" si="34"/>
        <v>5</v>
      </c>
    </row>
    <row r="2095" spans="2:11" x14ac:dyDescent="0.35">
      <c r="B2095" t="s">
        <v>2091</v>
      </c>
      <c r="C2095">
        <v>76</v>
      </c>
      <c r="D2095">
        <v>5</v>
      </c>
      <c r="E2095">
        <v>0</v>
      </c>
      <c r="F2095">
        <v>0</v>
      </c>
      <c r="G2095">
        <v>6</v>
      </c>
      <c r="H2095">
        <v>4</v>
      </c>
      <c r="I2095">
        <v>24</v>
      </c>
      <c r="J2095">
        <v>38</v>
      </c>
      <c r="K2095">
        <f t="shared" si="34"/>
        <v>4</v>
      </c>
    </row>
    <row r="2096" spans="2:11" x14ac:dyDescent="0.35">
      <c r="B2096" t="s">
        <v>2092</v>
      </c>
      <c r="C2096">
        <v>64</v>
      </c>
      <c r="D2096">
        <v>5</v>
      </c>
      <c r="E2096">
        <v>0</v>
      </c>
      <c r="F2096">
        <v>0</v>
      </c>
      <c r="G2096">
        <v>0</v>
      </c>
      <c r="H2096">
        <v>3</v>
      </c>
      <c r="I2096">
        <v>22</v>
      </c>
      <c r="J2096">
        <v>35</v>
      </c>
      <c r="K2096">
        <f t="shared" si="34"/>
        <v>3</v>
      </c>
    </row>
    <row r="2097" spans="2:11" x14ac:dyDescent="0.35">
      <c r="B2097" t="s">
        <v>2093</v>
      </c>
      <c r="C2097">
        <v>13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5</v>
      </c>
      <c r="J2097">
        <v>9</v>
      </c>
      <c r="K2097">
        <f t="shared" si="34"/>
        <v>1</v>
      </c>
    </row>
    <row r="2098" spans="2:11" x14ac:dyDescent="0.35">
      <c r="B2098" t="s">
        <v>2094</v>
      </c>
      <c r="C2098">
        <v>23</v>
      </c>
      <c r="D2098">
        <v>1</v>
      </c>
      <c r="E2098">
        <v>0</v>
      </c>
      <c r="F2098">
        <v>0</v>
      </c>
      <c r="G2098">
        <v>1</v>
      </c>
      <c r="H2098">
        <v>1</v>
      </c>
      <c r="I2098">
        <v>8</v>
      </c>
      <c r="J2098">
        <v>13</v>
      </c>
      <c r="K2098">
        <f t="shared" si="34"/>
        <v>4</v>
      </c>
    </row>
    <row r="2099" spans="2:11" x14ac:dyDescent="0.35">
      <c r="B2099" t="s">
        <v>2095</v>
      </c>
      <c r="C2099">
        <v>19</v>
      </c>
      <c r="D2099">
        <v>5</v>
      </c>
      <c r="E2099">
        <v>0</v>
      </c>
      <c r="F2099">
        <v>0</v>
      </c>
      <c r="G2099">
        <v>1</v>
      </c>
      <c r="H2099">
        <v>1</v>
      </c>
      <c r="I2099">
        <v>10</v>
      </c>
      <c r="J2099">
        <v>3</v>
      </c>
      <c r="K2099">
        <f t="shared" si="34"/>
        <v>4</v>
      </c>
    </row>
    <row r="2100" spans="2:11" x14ac:dyDescent="0.35">
      <c r="B2100" t="s">
        <v>2096</v>
      </c>
      <c r="C2100">
        <v>33</v>
      </c>
      <c r="D2100">
        <v>1</v>
      </c>
      <c r="E2100">
        <v>0</v>
      </c>
      <c r="F2100">
        <v>0</v>
      </c>
      <c r="G2100">
        <v>6</v>
      </c>
      <c r="H2100">
        <v>1</v>
      </c>
      <c r="I2100">
        <v>12</v>
      </c>
      <c r="J2100">
        <v>14</v>
      </c>
      <c r="K2100">
        <f t="shared" si="34"/>
        <v>4</v>
      </c>
    </row>
    <row r="2101" spans="2:11" x14ac:dyDescent="0.35">
      <c r="B2101" t="s">
        <v>2097</v>
      </c>
      <c r="C2101">
        <v>16</v>
      </c>
      <c r="D2101">
        <v>0</v>
      </c>
      <c r="E2101">
        <v>0</v>
      </c>
      <c r="F2101">
        <v>0</v>
      </c>
      <c r="G2101">
        <v>1</v>
      </c>
      <c r="H2101">
        <v>0</v>
      </c>
      <c r="I2101">
        <v>9</v>
      </c>
      <c r="J2101">
        <v>7</v>
      </c>
      <c r="K2101">
        <f t="shared" si="34"/>
        <v>2</v>
      </c>
    </row>
    <row r="2102" spans="2:11" x14ac:dyDescent="0.35">
      <c r="B2102" t="s">
        <v>2098</v>
      </c>
      <c r="C2102">
        <v>20</v>
      </c>
      <c r="D2102">
        <v>4</v>
      </c>
      <c r="E2102">
        <v>0</v>
      </c>
      <c r="F2102">
        <v>1</v>
      </c>
      <c r="G2102">
        <v>0</v>
      </c>
      <c r="H2102">
        <v>0</v>
      </c>
      <c r="I2102">
        <v>3</v>
      </c>
      <c r="J2102">
        <v>13</v>
      </c>
      <c r="K2102">
        <f t="shared" si="34"/>
        <v>3</v>
      </c>
    </row>
    <row r="2103" spans="2:11" x14ac:dyDescent="0.35">
      <c r="B2103" t="s">
        <v>2099</v>
      </c>
      <c r="C2103">
        <v>23</v>
      </c>
      <c r="D2103">
        <v>0</v>
      </c>
      <c r="E2103">
        <v>0</v>
      </c>
      <c r="F2103">
        <v>0</v>
      </c>
      <c r="G2103">
        <v>5</v>
      </c>
      <c r="H2103">
        <v>3</v>
      </c>
      <c r="I2103">
        <v>10</v>
      </c>
      <c r="J2103">
        <v>6</v>
      </c>
      <c r="K2103">
        <f t="shared" si="34"/>
        <v>3</v>
      </c>
    </row>
    <row r="2104" spans="2:11" x14ac:dyDescent="0.35">
      <c r="B2104" t="s">
        <v>2100</v>
      </c>
      <c r="C2104">
        <v>106</v>
      </c>
      <c r="D2104">
        <v>4</v>
      </c>
      <c r="E2104">
        <v>0</v>
      </c>
      <c r="F2104">
        <v>0</v>
      </c>
      <c r="G2104">
        <v>2</v>
      </c>
      <c r="H2104">
        <v>1</v>
      </c>
      <c r="I2104">
        <v>62</v>
      </c>
      <c r="J2104">
        <v>38</v>
      </c>
      <c r="K2104">
        <f t="shared" si="34"/>
        <v>4</v>
      </c>
    </row>
    <row r="2105" spans="2:11" x14ac:dyDescent="0.35">
      <c r="B2105" t="s">
        <v>2101</v>
      </c>
      <c r="C2105">
        <v>7</v>
      </c>
      <c r="D2105">
        <v>1</v>
      </c>
      <c r="E2105">
        <v>0</v>
      </c>
      <c r="F2105">
        <v>0</v>
      </c>
      <c r="G2105">
        <v>0</v>
      </c>
      <c r="H2105">
        <v>3</v>
      </c>
      <c r="I2105">
        <v>1</v>
      </c>
      <c r="J2105">
        <v>3</v>
      </c>
      <c r="K2105">
        <f t="shared" si="34"/>
        <v>3</v>
      </c>
    </row>
    <row r="2106" spans="2:11" x14ac:dyDescent="0.35">
      <c r="B2106" t="s">
        <v>2102</v>
      </c>
      <c r="C2106">
        <v>59</v>
      </c>
      <c r="D2106">
        <v>4</v>
      </c>
      <c r="E2106">
        <v>0</v>
      </c>
      <c r="F2106">
        <v>0</v>
      </c>
      <c r="G2106">
        <v>9</v>
      </c>
      <c r="H2106">
        <v>3</v>
      </c>
      <c r="I2106">
        <v>23</v>
      </c>
      <c r="J2106">
        <v>21</v>
      </c>
      <c r="K2106">
        <f t="shared" si="34"/>
        <v>4</v>
      </c>
    </row>
    <row r="2107" spans="2:11" x14ac:dyDescent="0.35">
      <c r="B2107" t="s">
        <v>2103</v>
      </c>
      <c r="C2107">
        <v>8</v>
      </c>
      <c r="D2107">
        <v>0</v>
      </c>
      <c r="E2107">
        <v>0</v>
      </c>
      <c r="F2107">
        <v>0</v>
      </c>
      <c r="G2107">
        <v>3</v>
      </c>
      <c r="H2107">
        <v>0</v>
      </c>
      <c r="I2107">
        <v>3</v>
      </c>
      <c r="J2107">
        <v>3</v>
      </c>
      <c r="K2107">
        <f t="shared" si="34"/>
        <v>2</v>
      </c>
    </row>
    <row r="2108" spans="2:11" x14ac:dyDescent="0.35">
      <c r="B2108" t="s">
        <v>2104</v>
      </c>
      <c r="C2108">
        <v>8</v>
      </c>
      <c r="D2108">
        <v>3</v>
      </c>
      <c r="E2108">
        <v>0</v>
      </c>
      <c r="F2108">
        <v>0</v>
      </c>
      <c r="G2108">
        <v>0</v>
      </c>
      <c r="H2108">
        <v>0</v>
      </c>
      <c r="I2108">
        <v>4</v>
      </c>
      <c r="J2108">
        <v>2</v>
      </c>
      <c r="K2108">
        <f t="shared" si="34"/>
        <v>2</v>
      </c>
    </row>
    <row r="2109" spans="2:11" x14ac:dyDescent="0.35">
      <c r="B2109" t="s">
        <v>2105</v>
      </c>
      <c r="C2109">
        <v>6</v>
      </c>
      <c r="D2109">
        <v>1</v>
      </c>
      <c r="E2109">
        <v>0</v>
      </c>
      <c r="F2109">
        <v>0</v>
      </c>
      <c r="G2109">
        <v>0</v>
      </c>
      <c r="H2109">
        <v>0</v>
      </c>
      <c r="I2109">
        <v>3</v>
      </c>
      <c r="J2109">
        <v>3</v>
      </c>
      <c r="K2109">
        <f t="shared" si="34"/>
        <v>2</v>
      </c>
    </row>
    <row r="2110" spans="2:11" x14ac:dyDescent="0.35">
      <c r="B2110" t="s">
        <v>2106</v>
      </c>
      <c r="C2110">
        <v>10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4</v>
      </c>
      <c r="J2110">
        <v>7</v>
      </c>
      <c r="K2110">
        <f t="shared" si="34"/>
        <v>1</v>
      </c>
    </row>
    <row r="2111" spans="2:11" x14ac:dyDescent="0.35">
      <c r="B2111" t="s">
        <v>2107</v>
      </c>
      <c r="C2111">
        <v>8</v>
      </c>
      <c r="D2111">
        <v>1</v>
      </c>
      <c r="E2111">
        <v>0</v>
      </c>
      <c r="F2111">
        <v>0</v>
      </c>
      <c r="G2111">
        <v>0</v>
      </c>
      <c r="H2111">
        <v>4</v>
      </c>
      <c r="I2111">
        <v>2</v>
      </c>
      <c r="J2111">
        <v>2</v>
      </c>
      <c r="K2111">
        <f t="shared" si="34"/>
        <v>3</v>
      </c>
    </row>
    <row r="2112" spans="2:11" x14ac:dyDescent="0.35">
      <c r="B2112" t="s">
        <v>2108</v>
      </c>
      <c r="C2112">
        <v>17</v>
      </c>
      <c r="D2112">
        <v>2</v>
      </c>
      <c r="E2112">
        <v>0</v>
      </c>
      <c r="F2112">
        <v>1</v>
      </c>
      <c r="G2112">
        <v>2</v>
      </c>
      <c r="H2112">
        <v>2</v>
      </c>
      <c r="I2112">
        <v>5</v>
      </c>
      <c r="J2112">
        <v>6</v>
      </c>
      <c r="K2112">
        <f t="shared" si="34"/>
        <v>5</v>
      </c>
    </row>
    <row r="2113" spans="2:11" x14ac:dyDescent="0.35">
      <c r="B2113" t="s">
        <v>2109</v>
      </c>
      <c r="C2113">
        <v>15</v>
      </c>
      <c r="D2113">
        <v>1</v>
      </c>
      <c r="E2113">
        <v>0</v>
      </c>
      <c r="F2113">
        <v>2</v>
      </c>
      <c r="G2113">
        <v>1</v>
      </c>
      <c r="H2113">
        <v>1</v>
      </c>
      <c r="I2113">
        <v>3</v>
      </c>
      <c r="J2113">
        <v>8</v>
      </c>
      <c r="K2113">
        <f t="shared" si="34"/>
        <v>5</v>
      </c>
    </row>
    <row r="2114" spans="2:11" x14ac:dyDescent="0.35">
      <c r="B2114" t="s">
        <v>2110</v>
      </c>
      <c r="C2114">
        <v>16</v>
      </c>
      <c r="D2114">
        <v>1</v>
      </c>
      <c r="E2114">
        <v>0</v>
      </c>
      <c r="F2114">
        <v>2</v>
      </c>
      <c r="G2114">
        <v>1</v>
      </c>
      <c r="H2114">
        <v>0</v>
      </c>
      <c r="I2114">
        <v>5</v>
      </c>
      <c r="J2114">
        <v>8</v>
      </c>
      <c r="K2114">
        <f t="shared" si="34"/>
        <v>4</v>
      </c>
    </row>
    <row r="2115" spans="2:11" x14ac:dyDescent="0.35">
      <c r="B2115" t="s">
        <v>2111</v>
      </c>
      <c r="C2115">
        <v>43</v>
      </c>
      <c r="D2115">
        <v>2</v>
      </c>
      <c r="E2115">
        <v>0</v>
      </c>
      <c r="F2115">
        <v>0</v>
      </c>
      <c r="G2115">
        <v>7</v>
      </c>
      <c r="H2115">
        <v>3</v>
      </c>
      <c r="I2115">
        <v>14</v>
      </c>
      <c r="J2115">
        <v>18</v>
      </c>
      <c r="K2115">
        <f t="shared" si="34"/>
        <v>4</v>
      </c>
    </row>
    <row r="2116" spans="2:11" x14ac:dyDescent="0.35">
      <c r="B2116" t="s">
        <v>2112</v>
      </c>
      <c r="C2116">
        <v>14</v>
      </c>
      <c r="D2116">
        <v>2</v>
      </c>
      <c r="E2116">
        <v>1</v>
      </c>
      <c r="F2116">
        <v>0</v>
      </c>
      <c r="G2116">
        <v>0</v>
      </c>
      <c r="H2116">
        <v>1</v>
      </c>
      <c r="I2116">
        <v>5</v>
      </c>
      <c r="J2116">
        <v>6</v>
      </c>
      <c r="K2116">
        <f t="shared" si="34"/>
        <v>4</v>
      </c>
    </row>
    <row r="2117" spans="2:11" x14ac:dyDescent="0.35">
      <c r="B2117" t="s">
        <v>2113</v>
      </c>
      <c r="C2117">
        <v>27</v>
      </c>
      <c r="D2117">
        <v>0</v>
      </c>
      <c r="E2117">
        <v>0</v>
      </c>
      <c r="F2117">
        <v>0</v>
      </c>
      <c r="G2117">
        <v>6</v>
      </c>
      <c r="H2117">
        <v>5</v>
      </c>
      <c r="I2117">
        <v>5</v>
      </c>
      <c r="J2117">
        <v>12</v>
      </c>
      <c r="K2117">
        <f t="shared" si="34"/>
        <v>3</v>
      </c>
    </row>
    <row r="2118" spans="2:11" x14ac:dyDescent="0.35">
      <c r="B2118" t="s">
        <v>2114</v>
      </c>
      <c r="C2118">
        <v>7</v>
      </c>
      <c r="D2118">
        <v>1</v>
      </c>
      <c r="E2118">
        <v>0</v>
      </c>
      <c r="F2118">
        <v>1</v>
      </c>
      <c r="G2118">
        <v>2</v>
      </c>
      <c r="H2118">
        <v>0</v>
      </c>
      <c r="I2118">
        <v>2</v>
      </c>
      <c r="J2118">
        <v>2</v>
      </c>
      <c r="K2118">
        <f t="shared" si="34"/>
        <v>4</v>
      </c>
    </row>
    <row r="2119" spans="2:11" x14ac:dyDescent="0.35">
      <c r="B2119" t="s">
        <v>2115</v>
      </c>
      <c r="C2119">
        <v>10</v>
      </c>
      <c r="D2119">
        <v>1</v>
      </c>
      <c r="E2119">
        <v>0</v>
      </c>
      <c r="F2119">
        <v>0</v>
      </c>
      <c r="G2119">
        <v>0</v>
      </c>
      <c r="H2119">
        <v>1</v>
      </c>
      <c r="I2119">
        <v>4</v>
      </c>
      <c r="J2119">
        <v>5</v>
      </c>
      <c r="K2119">
        <f t="shared" si="34"/>
        <v>3</v>
      </c>
    </row>
    <row r="2120" spans="2:11" x14ac:dyDescent="0.35">
      <c r="B2120" t="s">
        <v>2116</v>
      </c>
      <c r="C2120">
        <v>12</v>
      </c>
      <c r="D2120">
        <v>0</v>
      </c>
      <c r="E2120">
        <v>0</v>
      </c>
      <c r="F2120">
        <v>0</v>
      </c>
      <c r="G2120">
        <v>5</v>
      </c>
      <c r="H2120">
        <v>0</v>
      </c>
      <c r="I2120">
        <v>4</v>
      </c>
      <c r="J2120">
        <v>4</v>
      </c>
      <c r="K2120">
        <f t="shared" si="34"/>
        <v>2</v>
      </c>
    </row>
    <row r="2121" spans="2:11" x14ac:dyDescent="0.35">
      <c r="B2121" t="s">
        <v>2117</v>
      </c>
      <c r="C2121">
        <v>24</v>
      </c>
      <c r="D2121">
        <v>0</v>
      </c>
      <c r="E2121">
        <v>0</v>
      </c>
      <c r="F2121">
        <v>0</v>
      </c>
      <c r="G2121">
        <v>2</v>
      </c>
      <c r="H2121">
        <v>0</v>
      </c>
      <c r="I2121">
        <v>1</v>
      </c>
      <c r="J2121">
        <v>22</v>
      </c>
      <c r="K2121">
        <f t="shared" si="34"/>
        <v>2</v>
      </c>
    </row>
    <row r="2122" spans="2:11" x14ac:dyDescent="0.35">
      <c r="B2122" t="s">
        <v>2118</v>
      </c>
      <c r="C2122">
        <v>114</v>
      </c>
      <c r="D2122">
        <v>8</v>
      </c>
      <c r="E2122">
        <v>1</v>
      </c>
      <c r="F2122">
        <v>2</v>
      </c>
      <c r="G2122">
        <v>18</v>
      </c>
      <c r="H2122">
        <v>8</v>
      </c>
      <c r="I2122">
        <v>32</v>
      </c>
      <c r="J2122">
        <v>46</v>
      </c>
      <c r="K2122">
        <f t="shared" si="34"/>
        <v>6</v>
      </c>
    </row>
    <row r="2123" spans="2:11" x14ac:dyDescent="0.35">
      <c r="B2123" t="s">
        <v>2119</v>
      </c>
      <c r="C2123">
        <v>38</v>
      </c>
      <c r="D2123">
        <v>3</v>
      </c>
      <c r="E2123">
        <v>1</v>
      </c>
      <c r="F2123">
        <v>0</v>
      </c>
      <c r="G2123">
        <v>1</v>
      </c>
      <c r="H2123">
        <v>0</v>
      </c>
      <c r="I2123">
        <v>27</v>
      </c>
      <c r="J2123">
        <v>7</v>
      </c>
      <c r="K2123">
        <f t="shared" si="34"/>
        <v>4</v>
      </c>
    </row>
    <row r="2124" spans="2:11" x14ac:dyDescent="0.35">
      <c r="B2124" t="s">
        <v>2120</v>
      </c>
      <c r="C2124">
        <v>20</v>
      </c>
      <c r="D2124">
        <v>3</v>
      </c>
      <c r="E2124">
        <v>0</v>
      </c>
      <c r="F2124">
        <v>0</v>
      </c>
      <c r="G2124">
        <v>1</v>
      </c>
      <c r="H2124">
        <v>3</v>
      </c>
      <c r="I2124">
        <v>5</v>
      </c>
      <c r="J2124">
        <v>9</v>
      </c>
      <c r="K2124">
        <f t="shared" ref="K2124:K2187" si="35">COUNTIF(D2124:I2124, "&gt;0")</f>
        <v>4</v>
      </c>
    </row>
    <row r="2125" spans="2:11" x14ac:dyDescent="0.35">
      <c r="B2125" t="s">
        <v>2121</v>
      </c>
      <c r="C2125">
        <v>10</v>
      </c>
      <c r="D2125">
        <v>0</v>
      </c>
      <c r="E2125">
        <v>0</v>
      </c>
      <c r="F2125">
        <v>0</v>
      </c>
      <c r="G2125">
        <v>0</v>
      </c>
      <c r="H2125">
        <v>2</v>
      </c>
      <c r="I2125">
        <v>5</v>
      </c>
      <c r="J2125">
        <v>4</v>
      </c>
      <c r="K2125">
        <f t="shared" si="35"/>
        <v>2</v>
      </c>
    </row>
    <row r="2126" spans="2:11" x14ac:dyDescent="0.35">
      <c r="B2126" t="s">
        <v>2122</v>
      </c>
      <c r="C2126">
        <v>48</v>
      </c>
      <c r="D2126">
        <v>1</v>
      </c>
      <c r="E2126">
        <v>0</v>
      </c>
      <c r="F2126">
        <v>1</v>
      </c>
      <c r="G2126">
        <v>0</v>
      </c>
      <c r="H2126">
        <v>1</v>
      </c>
      <c r="I2126">
        <v>12</v>
      </c>
      <c r="J2126">
        <v>34</v>
      </c>
      <c r="K2126">
        <f t="shared" si="35"/>
        <v>4</v>
      </c>
    </row>
    <row r="2127" spans="2:11" x14ac:dyDescent="0.35">
      <c r="B2127" t="s">
        <v>2123</v>
      </c>
      <c r="C2127">
        <v>33</v>
      </c>
      <c r="D2127">
        <v>1</v>
      </c>
      <c r="E2127">
        <v>0</v>
      </c>
      <c r="F2127">
        <v>15</v>
      </c>
      <c r="G2127">
        <v>2</v>
      </c>
      <c r="H2127">
        <v>0</v>
      </c>
      <c r="I2127">
        <v>5</v>
      </c>
      <c r="J2127">
        <v>11</v>
      </c>
      <c r="K2127">
        <f t="shared" si="35"/>
        <v>4</v>
      </c>
    </row>
    <row r="2128" spans="2:11" x14ac:dyDescent="0.35">
      <c r="B2128" t="s">
        <v>2124</v>
      </c>
      <c r="C2128">
        <v>33</v>
      </c>
      <c r="D2128">
        <v>1</v>
      </c>
      <c r="E2128">
        <v>0</v>
      </c>
      <c r="F2128">
        <v>15</v>
      </c>
      <c r="G2128">
        <v>2</v>
      </c>
      <c r="H2128">
        <v>0</v>
      </c>
      <c r="I2128">
        <v>5</v>
      </c>
      <c r="J2128">
        <v>11</v>
      </c>
      <c r="K2128">
        <f t="shared" si="35"/>
        <v>4</v>
      </c>
    </row>
    <row r="2129" spans="2:11" x14ac:dyDescent="0.35">
      <c r="B2129" t="s">
        <v>2125</v>
      </c>
      <c r="C2129">
        <v>38</v>
      </c>
      <c r="D2129">
        <v>5</v>
      </c>
      <c r="E2129">
        <v>0</v>
      </c>
      <c r="F2129">
        <v>0</v>
      </c>
      <c r="G2129">
        <v>0</v>
      </c>
      <c r="H2129">
        <v>14</v>
      </c>
      <c r="I2129">
        <v>10</v>
      </c>
      <c r="J2129">
        <v>10</v>
      </c>
      <c r="K2129">
        <f t="shared" si="35"/>
        <v>3</v>
      </c>
    </row>
    <row r="2130" spans="2:11" x14ac:dyDescent="0.35">
      <c r="B2130" t="s">
        <v>2126</v>
      </c>
      <c r="C2130">
        <v>71</v>
      </c>
      <c r="D2130">
        <v>2</v>
      </c>
      <c r="E2130">
        <v>1</v>
      </c>
      <c r="F2130">
        <v>2</v>
      </c>
      <c r="G2130">
        <v>3</v>
      </c>
      <c r="H2130">
        <v>5</v>
      </c>
      <c r="I2130">
        <v>21</v>
      </c>
      <c r="J2130">
        <v>38</v>
      </c>
      <c r="K2130">
        <f t="shared" si="35"/>
        <v>6</v>
      </c>
    </row>
    <row r="2131" spans="2:11" x14ac:dyDescent="0.35">
      <c r="B2131" t="s">
        <v>2127</v>
      </c>
      <c r="C2131">
        <v>32</v>
      </c>
      <c r="D2131">
        <v>4</v>
      </c>
      <c r="E2131">
        <v>0</v>
      </c>
      <c r="F2131">
        <v>0</v>
      </c>
      <c r="G2131">
        <v>7</v>
      </c>
      <c r="H2131">
        <v>2</v>
      </c>
      <c r="I2131">
        <v>15</v>
      </c>
      <c r="J2131">
        <v>5</v>
      </c>
      <c r="K2131">
        <f t="shared" si="35"/>
        <v>4</v>
      </c>
    </row>
    <row r="2132" spans="2:11" x14ac:dyDescent="0.35">
      <c r="B2132" t="s">
        <v>2128</v>
      </c>
      <c r="C2132">
        <v>6</v>
      </c>
      <c r="D2132">
        <v>0</v>
      </c>
      <c r="E2132">
        <v>0</v>
      </c>
      <c r="F2132">
        <v>0</v>
      </c>
      <c r="G2132">
        <v>4</v>
      </c>
      <c r="H2132">
        <v>2</v>
      </c>
      <c r="I2132">
        <v>0</v>
      </c>
      <c r="J2132">
        <v>1</v>
      </c>
      <c r="K2132">
        <f t="shared" si="35"/>
        <v>2</v>
      </c>
    </row>
    <row r="2133" spans="2:11" x14ac:dyDescent="0.35">
      <c r="B2133" t="s">
        <v>2129</v>
      </c>
      <c r="C2133">
        <v>6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2</v>
      </c>
      <c r="J2133">
        <v>4</v>
      </c>
      <c r="K2133">
        <f t="shared" si="35"/>
        <v>2</v>
      </c>
    </row>
    <row r="2134" spans="2:11" x14ac:dyDescent="0.35">
      <c r="B2134" t="s">
        <v>2130</v>
      </c>
      <c r="C2134">
        <v>12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9</v>
      </c>
      <c r="J2134">
        <v>4</v>
      </c>
      <c r="K2134">
        <f t="shared" si="35"/>
        <v>1</v>
      </c>
    </row>
    <row r="2135" spans="2:11" x14ac:dyDescent="0.35">
      <c r="B2135" t="s">
        <v>2131</v>
      </c>
      <c r="C2135">
        <v>26</v>
      </c>
      <c r="D2135">
        <v>5</v>
      </c>
      <c r="E2135">
        <v>0</v>
      </c>
      <c r="F2135">
        <v>0</v>
      </c>
      <c r="G2135">
        <v>0</v>
      </c>
      <c r="H2135">
        <v>0</v>
      </c>
      <c r="I2135">
        <v>13</v>
      </c>
      <c r="J2135">
        <v>9</v>
      </c>
      <c r="K2135">
        <f t="shared" si="35"/>
        <v>2</v>
      </c>
    </row>
    <row r="2136" spans="2:11" x14ac:dyDescent="0.35">
      <c r="B2136" t="s">
        <v>2132</v>
      </c>
      <c r="C2136">
        <v>58</v>
      </c>
      <c r="D2136">
        <v>8</v>
      </c>
      <c r="E2136">
        <v>0</v>
      </c>
      <c r="F2136">
        <v>3</v>
      </c>
      <c r="G2136">
        <v>1</v>
      </c>
      <c r="H2136">
        <v>5</v>
      </c>
      <c r="I2136">
        <v>15</v>
      </c>
      <c r="J2136">
        <v>27</v>
      </c>
      <c r="K2136">
        <f t="shared" si="35"/>
        <v>5</v>
      </c>
    </row>
    <row r="2137" spans="2:11" x14ac:dyDescent="0.35">
      <c r="B2137" t="s">
        <v>2133</v>
      </c>
      <c r="C2137">
        <v>129</v>
      </c>
      <c r="D2137">
        <v>1</v>
      </c>
      <c r="E2137">
        <v>0</v>
      </c>
      <c r="F2137">
        <v>0</v>
      </c>
      <c r="G2137">
        <v>2</v>
      </c>
      <c r="H2137">
        <v>5</v>
      </c>
      <c r="I2137">
        <v>64</v>
      </c>
      <c r="J2137">
        <v>58</v>
      </c>
      <c r="K2137">
        <f t="shared" si="35"/>
        <v>4</v>
      </c>
    </row>
    <row r="2138" spans="2:11" x14ac:dyDescent="0.35">
      <c r="B2138" t="s">
        <v>2134</v>
      </c>
      <c r="C2138">
        <v>11</v>
      </c>
      <c r="D2138">
        <v>1</v>
      </c>
      <c r="E2138">
        <v>0</v>
      </c>
      <c r="F2138">
        <v>1</v>
      </c>
      <c r="G2138">
        <v>0</v>
      </c>
      <c r="H2138">
        <v>0</v>
      </c>
      <c r="I2138">
        <v>2</v>
      </c>
      <c r="J2138">
        <v>8</v>
      </c>
      <c r="K2138">
        <f t="shared" si="35"/>
        <v>3</v>
      </c>
    </row>
    <row r="2139" spans="2:11" x14ac:dyDescent="0.35">
      <c r="B2139" t="s">
        <v>2135</v>
      </c>
      <c r="C2139">
        <v>13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6</v>
      </c>
      <c r="J2139">
        <v>8</v>
      </c>
      <c r="K2139">
        <f t="shared" si="35"/>
        <v>1</v>
      </c>
    </row>
    <row r="2140" spans="2:11" x14ac:dyDescent="0.35">
      <c r="B2140" t="s">
        <v>2136</v>
      </c>
      <c r="C2140">
        <v>85</v>
      </c>
      <c r="D2140">
        <v>2</v>
      </c>
      <c r="E2140">
        <v>0</v>
      </c>
      <c r="F2140">
        <v>0</v>
      </c>
      <c r="G2140">
        <v>5</v>
      </c>
      <c r="H2140">
        <v>18</v>
      </c>
      <c r="I2140">
        <v>19</v>
      </c>
      <c r="J2140">
        <v>42</v>
      </c>
      <c r="K2140">
        <f t="shared" si="35"/>
        <v>4</v>
      </c>
    </row>
    <row r="2141" spans="2:11" x14ac:dyDescent="0.35">
      <c r="B2141" t="s">
        <v>2137</v>
      </c>
      <c r="C2141">
        <v>24</v>
      </c>
      <c r="D2141">
        <v>6</v>
      </c>
      <c r="E2141">
        <v>0</v>
      </c>
      <c r="F2141">
        <v>0</v>
      </c>
      <c r="G2141">
        <v>0</v>
      </c>
      <c r="H2141">
        <v>1</v>
      </c>
      <c r="I2141">
        <v>11</v>
      </c>
      <c r="J2141">
        <v>7</v>
      </c>
      <c r="K2141">
        <f t="shared" si="35"/>
        <v>3</v>
      </c>
    </row>
    <row r="2142" spans="2:11" x14ac:dyDescent="0.35">
      <c r="B2142" t="s">
        <v>2138</v>
      </c>
      <c r="C2142">
        <v>9</v>
      </c>
      <c r="D2142">
        <v>0</v>
      </c>
      <c r="E2142">
        <v>0</v>
      </c>
      <c r="F2142">
        <v>0</v>
      </c>
      <c r="G2142">
        <v>5</v>
      </c>
      <c r="H2142">
        <v>2</v>
      </c>
      <c r="I2142">
        <v>2</v>
      </c>
      <c r="J2142">
        <v>1</v>
      </c>
      <c r="K2142">
        <f t="shared" si="35"/>
        <v>3</v>
      </c>
    </row>
    <row r="2143" spans="2:11" x14ac:dyDescent="0.35">
      <c r="B2143" t="s">
        <v>2139</v>
      </c>
      <c r="C2143">
        <v>10</v>
      </c>
      <c r="D2143">
        <v>1</v>
      </c>
      <c r="E2143">
        <v>0</v>
      </c>
      <c r="F2143">
        <v>0</v>
      </c>
      <c r="G2143">
        <v>0</v>
      </c>
      <c r="H2143">
        <v>2</v>
      </c>
      <c r="I2143">
        <v>5</v>
      </c>
      <c r="J2143">
        <v>3</v>
      </c>
      <c r="K2143">
        <f t="shared" si="35"/>
        <v>3</v>
      </c>
    </row>
    <row r="2144" spans="2:11" x14ac:dyDescent="0.35">
      <c r="B2144" t="s">
        <v>2140</v>
      </c>
      <c r="C2144">
        <v>29</v>
      </c>
      <c r="D2144">
        <v>3</v>
      </c>
      <c r="E2144">
        <v>0</v>
      </c>
      <c r="F2144">
        <v>0</v>
      </c>
      <c r="G2144">
        <v>1</v>
      </c>
      <c r="H2144">
        <v>1</v>
      </c>
      <c r="I2144">
        <v>4</v>
      </c>
      <c r="J2144">
        <v>21</v>
      </c>
      <c r="K2144">
        <f t="shared" si="35"/>
        <v>4</v>
      </c>
    </row>
    <row r="2145" spans="2:11" x14ac:dyDescent="0.35">
      <c r="B2145" t="s">
        <v>2141</v>
      </c>
      <c r="C2145">
        <v>104</v>
      </c>
      <c r="D2145">
        <v>3</v>
      </c>
      <c r="E2145">
        <v>0</v>
      </c>
      <c r="F2145">
        <v>0</v>
      </c>
      <c r="G2145">
        <v>17</v>
      </c>
      <c r="H2145">
        <v>17</v>
      </c>
      <c r="I2145">
        <v>23</v>
      </c>
      <c r="J2145">
        <v>45</v>
      </c>
      <c r="K2145">
        <f t="shared" si="35"/>
        <v>4</v>
      </c>
    </row>
    <row r="2146" spans="2:11" x14ac:dyDescent="0.35">
      <c r="B2146" t="s">
        <v>2142</v>
      </c>
      <c r="C2146">
        <v>12</v>
      </c>
      <c r="D2146">
        <v>1</v>
      </c>
      <c r="E2146">
        <v>0</v>
      </c>
      <c r="F2146">
        <v>0</v>
      </c>
      <c r="G2146">
        <v>2</v>
      </c>
      <c r="H2146">
        <v>1</v>
      </c>
      <c r="I2146">
        <v>1</v>
      </c>
      <c r="J2146">
        <v>8</v>
      </c>
      <c r="K2146">
        <f t="shared" si="35"/>
        <v>4</v>
      </c>
    </row>
    <row r="2147" spans="2:11" x14ac:dyDescent="0.35">
      <c r="B2147" t="s">
        <v>2143</v>
      </c>
      <c r="C2147">
        <v>35</v>
      </c>
      <c r="D2147">
        <v>1</v>
      </c>
      <c r="E2147">
        <v>0</v>
      </c>
      <c r="F2147">
        <v>0</v>
      </c>
      <c r="G2147">
        <v>4</v>
      </c>
      <c r="H2147">
        <v>21</v>
      </c>
      <c r="I2147">
        <v>3</v>
      </c>
      <c r="J2147">
        <v>7</v>
      </c>
      <c r="K2147">
        <f t="shared" si="35"/>
        <v>4</v>
      </c>
    </row>
    <row r="2148" spans="2:11" x14ac:dyDescent="0.35">
      <c r="B2148" t="s">
        <v>2144</v>
      </c>
      <c r="C2148">
        <v>38</v>
      </c>
      <c r="D2148">
        <v>2</v>
      </c>
      <c r="E2148">
        <v>0</v>
      </c>
      <c r="F2148">
        <v>0</v>
      </c>
      <c r="G2148">
        <v>1</v>
      </c>
      <c r="H2148">
        <v>2</v>
      </c>
      <c r="I2148">
        <v>17</v>
      </c>
      <c r="J2148">
        <v>17</v>
      </c>
      <c r="K2148">
        <f t="shared" si="35"/>
        <v>4</v>
      </c>
    </row>
    <row r="2149" spans="2:11" x14ac:dyDescent="0.35">
      <c r="B2149" t="s">
        <v>2145</v>
      </c>
      <c r="C2149">
        <v>66</v>
      </c>
      <c r="D2149">
        <v>2</v>
      </c>
      <c r="E2149">
        <v>0</v>
      </c>
      <c r="F2149">
        <v>0</v>
      </c>
      <c r="G2149">
        <v>24</v>
      </c>
      <c r="H2149">
        <v>2</v>
      </c>
      <c r="I2149">
        <v>16</v>
      </c>
      <c r="J2149">
        <v>23</v>
      </c>
      <c r="K2149">
        <f t="shared" si="35"/>
        <v>4</v>
      </c>
    </row>
    <row r="2150" spans="2:11" x14ac:dyDescent="0.35">
      <c r="B2150" t="s">
        <v>2146</v>
      </c>
      <c r="C2150">
        <v>12</v>
      </c>
      <c r="D2150">
        <v>0</v>
      </c>
      <c r="E2150">
        <v>0</v>
      </c>
      <c r="F2150">
        <v>0</v>
      </c>
      <c r="G2150">
        <v>5</v>
      </c>
      <c r="H2150">
        <v>2</v>
      </c>
      <c r="I2150">
        <v>1</v>
      </c>
      <c r="J2150">
        <v>5</v>
      </c>
      <c r="K2150">
        <f t="shared" si="35"/>
        <v>3</v>
      </c>
    </row>
    <row r="2151" spans="2:11" x14ac:dyDescent="0.35">
      <c r="B2151" t="s">
        <v>2147</v>
      </c>
      <c r="C2151">
        <v>42</v>
      </c>
      <c r="D2151">
        <v>0</v>
      </c>
      <c r="E2151">
        <v>0</v>
      </c>
      <c r="F2151">
        <v>1</v>
      </c>
      <c r="G2151">
        <v>6</v>
      </c>
      <c r="H2151">
        <v>4</v>
      </c>
      <c r="I2151">
        <v>20</v>
      </c>
      <c r="J2151">
        <v>12</v>
      </c>
      <c r="K2151">
        <f t="shared" si="35"/>
        <v>4</v>
      </c>
    </row>
    <row r="2152" spans="2:11" x14ac:dyDescent="0.35">
      <c r="B2152" t="s">
        <v>2148</v>
      </c>
      <c r="C2152">
        <v>98</v>
      </c>
      <c r="D2152">
        <v>6</v>
      </c>
      <c r="E2152">
        <v>1</v>
      </c>
      <c r="F2152">
        <v>4</v>
      </c>
      <c r="G2152">
        <v>3</v>
      </c>
      <c r="H2152">
        <v>5</v>
      </c>
      <c r="I2152">
        <v>34</v>
      </c>
      <c r="J2152">
        <v>46</v>
      </c>
      <c r="K2152">
        <f t="shared" si="35"/>
        <v>6</v>
      </c>
    </row>
    <row r="2153" spans="2:11" x14ac:dyDescent="0.35">
      <c r="B2153" t="s">
        <v>2149</v>
      </c>
      <c r="C2153">
        <v>89</v>
      </c>
      <c r="D2153">
        <v>11</v>
      </c>
      <c r="E2153">
        <v>0</v>
      </c>
      <c r="F2153">
        <v>4</v>
      </c>
      <c r="G2153">
        <v>0</v>
      </c>
      <c r="H2153">
        <v>8</v>
      </c>
      <c r="I2153">
        <v>42</v>
      </c>
      <c r="J2153">
        <v>25</v>
      </c>
      <c r="K2153">
        <f t="shared" si="35"/>
        <v>4</v>
      </c>
    </row>
    <row r="2154" spans="2:11" x14ac:dyDescent="0.35">
      <c r="B2154" t="s">
        <v>2150</v>
      </c>
      <c r="C2154">
        <v>31</v>
      </c>
      <c r="D2154">
        <v>0</v>
      </c>
      <c r="E2154">
        <v>0</v>
      </c>
      <c r="F2154">
        <v>0</v>
      </c>
      <c r="G2154">
        <v>1</v>
      </c>
      <c r="H2154">
        <v>10</v>
      </c>
      <c r="I2154">
        <v>5</v>
      </c>
      <c r="J2154">
        <v>16</v>
      </c>
      <c r="K2154">
        <f t="shared" si="35"/>
        <v>3</v>
      </c>
    </row>
    <row r="2155" spans="2:11" x14ac:dyDescent="0.35">
      <c r="B2155" t="s">
        <v>2151</v>
      </c>
      <c r="C2155">
        <v>27</v>
      </c>
      <c r="D2155">
        <v>1</v>
      </c>
      <c r="E2155">
        <v>0</v>
      </c>
      <c r="F2155">
        <v>1</v>
      </c>
      <c r="G2155">
        <v>2</v>
      </c>
      <c r="H2155">
        <v>2</v>
      </c>
      <c r="I2155">
        <v>4</v>
      </c>
      <c r="J2155">
        <v>18</v>
      </c>
      <c r="K2155">
        <f t="shared" si="35"/>
        <v>5</v>
      </c>
    </row>
    <row r="2156" spans="2:11" x14ac:dyDescent="0.35">
      <c r="B2156" t="s">
        <v>2152</v>
      </c>
      <c r="C2156">
        <v>16</v>
      </c>
      <c r="D2156">
        <v>4</v>
      </c>
      <c r="E2156">
        <v>0</v>
      </c>
      <c r="F2156">
        <v>0</v>
      </c>
      <c r="G2156">
        <v>0</v>
      </c>
      <c r="H2156">
        <v>1</v>
      </c>
      <c r="I2156">
        <v>5</v>
      </c>
      <c r="J2156">
        <v>7</v>
      </c>
      <c r="K2156">
        <f t="shared" si="35"/>
        <v>3</v>
      </c>
    </row>
    <row r="2157" spans="2:11" x14ac:dyDescent="0.35">
      <c r="B2157" t="s">
        <v>2153</v>
      </c>
      <c r="C2157">
        <v>13</v>
      </c>
      <c r="D2157">
        <v>0</v>
      </c>
      <c r="E2157">
        <v>0</v>
      </c>
      <c r="F2157">
        <v>0</v>
      </c>
      <c r="G2157">
        <v>3</v>
      </c>
      <c r="H2157">
        <v>2</v>
      </c>
      <c r="I2157">
        <v>3</v>
      </c>
      <c r="J2157">
        <v>6</v>
      </c>
      <c r="K2157">
        <f t="shared" si="35"/>
        <v>3</v>
      </c>
    </row>
    <row r="2158" spans="2:11" x14ac:dyDescent="0.35">
      <c r="B2158" t="s">
        <v>2154</v>
      </c>
      <c r="C2158">
        <v>144</v>
      </c>
      <c r="D2158">
        <v>6</v>
      </c>
      <c r="E2158">
        <v>0</v>
      </c>
      <c r="F2158">
        <v>0</v>
      </c>
      <c r="G2158">
        <v>27</v>
      </c>
      <c r="H2158">
        <v>5</v>
      </c>
      <c r="I2158">
        <v>52</v>
      </c>
      <c r="J2158">
        <v>55</v>
      </c>
      <c r="K2158">
        <f t="shared" si="35"/>
        <v>4</v>
      </c>
    </row>
    <row r="2159" spans="2:11" x14ac:dyDescent="0.35">
      <c r="B2159" t="s">
        <v>2155</v>
      </c>
      <c r="C2159">
        <v>9</v>
      </c>
      <c r="D2159">
        <v>1</v>
      </c>
      <c r="E2159">
        <v>0</v>
      </c>
      <c r="F2159">
        <v>0</v>
      </c>
      <c r="G2159">
        <v>0</v>
      </c>
      <c r="H2159">
        <v>2</v>
      </c>
      <c r="I2159">
        <v>1</v>
      </c>
      <c r="J2159">
        <v>6</v>
      </c>
      <c r="K2159">
        <f t="shared" si="35"/>
        <v>3</v>
      </c>
    </row>
    <row r="2160" spans="2:11" x14ac:dyDescent="0.35">
      <c r="B2160" t="s">
        <v>2156</v>
      </c>
      <c r="C2160">
        <v>11</v>
      </c>
      <c r="D2160">
        <v>3</v>
      </c>
      <c r="E2160">
        <v>0</v>
      </c>
      <c r="F2160">
        <v>0</v>
      </c>
      <c r="G2160">
        <v>0</v>
      </c>
      <c r="H2160">
        <v>0</v>
      </c>
      <c r="I2160">
        <v>2</v>
      </c>
      <c r="J2160">
        <v>7</v>
      </c>
      <c r="K2160">
        <f t="shared" si="35"/>
        <v>2</v>
      </c>
    </row>
    <row r="2161" spans="2:11" x14ac:dyDescent="0.35">
      <c r="B2161" t="s">
        <v>2157</v>
      </c>
      <c r="C2161">
        <v>15</v>
      </c>
      <c r="D2161">
        <v>0</v>
      </c>
      <c r="E2161">
        <v>0</v>
      </c>
      <c r="F2161">
        <v>0</v>
      </c>
      <c r="G2161">
        <v>0</v>
      </c>
      <c r="H2161">
        <v>2</v>
      </c>
      <c r="I2161">
        <v>6</v>
      </c>
      <c r="J2161">
        <v>8</v>
      </c>
      <c r="K2161">
        <f t="shared" si="35"/>
        <v>2</v>
      </c>
    </row>
    <row r="2162" spans="2:11" x14ac:dyDescent="0.35">
      <c r="B2162" t="s">
        <v>2158</v>
      </c>
      <c r="C2162">
        <v>90</v>
      </c>
      <c r="D2162">
        <v>1</v>
      </c>
      <c r="E2162">
        <v>0</v>
      </c>
      <c r="F2162">
        <v>0</v>
      </c>
      <c r="G2162">
        <v>1</v>
      </c>
      <c r="H2162">
        <v>19</v>
      </c>
      <c r="I2162">
        <v>13</v>
      </c>
      <c r="J2162">
        <v>57</v>
      </c>
      <c r="K2162">
        <f t="shared" si="35"/>
        <v>4</v>
      </c>
    </row>
    <row r="2163" spans="2:11" x14ac:dyDescent="0.35">
      <c r="B2163" t="s">
        <v>2159</v>
      </c>
      <c r="C2163">
        <v>36</v>
      </c>
      <c r="D2163">
        <v>1</v>
      </c>
      <c r="E2163">
        <v>0</v>
      </c>
      <c r="F2163">
        <v>0</v>
      </c>
      <c r="G2163">
        <v>8</v>
      </c>
      <c r="H2163">
        <v>1</v>
      </c>
      <c r="I2163">
        <v>13</v>
      </c>
      <c r="J2163">
        <v>14</v>
      </c>
      <c r="K2163">
        <f t="shared" si="35"/>
        <v>4</v>
      </c>
    </row>
    <row r="2164" spans="2:11" x14ac:dyDescent="0.35">
      <c r="B2164" t="s">
        <v>2160</v>
      </c>
      <c r="C2164">
        <v>15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12</v>
      </c>
      <c r="J2164">
        <v>4</v>
      </c>
      <c r="K2164">
        <f t="shared" si="35"/>
        <v>1</v>
      </c>
    </row>
    <row r="2165" spans="2:11" x14ac:dyDescent="0.35">
      <c r="B2165" t="s">
        <v>2161</v>
      </c>
      <c r="C2165">
        <v>15</v>
      </c>
      <c r="D2165">
        <v>0</v>
      </c>
      <c r="E2165">
        <v>0</v>
      </c>
      <c r="F2165">
        <v>0</v>
      </c>
      <c r="G2165">
        <v>2</v>
      </c>
      <c r="H2165">
        <v>1</v>
      </c>
      <c r="I2165">
        <v>9</v>
      </c>
      <c r="J2165">
        <v>4</v>
      </c>
      <c r="K2165">
        <f t="shared" si="35"/>
        <v>3</v>
      </c>
    </row>
    <row r="2166" spans="2:11" x14ac:dyDescent="0.35">
      <c r="B2166" t="s">
        <v>2162</v>
      </c>
      <c r="C2166">
        <v>16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7</v>
      </c>
      <c r="J2166">
        <v>10</v>
      </c>
      <c r="K2166">
        <f t="shared" si="35"/>
        <v>1</v>
      </c>
    </row>
    <row r="2167" spans="2:11" x14ac:dyDescent="0.35">
      <c r="B2167" t="s">
        <v>2163</v>
      </c>
      <c r="C2167">
        <v>7</v>
      </c>
      <c r="D2167">
        <v>2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6</v>
      </c>
      <c r="K2167">
        <f t="shared" si="35"/>
        <v>1</v>
      </c>
    </row>
    <row r="2168" spans="2:11" x14ac:dyDescent="0.35">
      <c r="B2168" t="s">
        <v>2164</v>
      </c>
      <c r="C2168">
        <v>10</v>
      </c>
      <c r="D2168">
        <v>0</v>
      </c>
      <c r="E2168">
        <v>0</v>
      </c>
      <c r="F2168">
        <v>0</v>
      </c>
      <c r="G2168">
        <v>0</v>
      </c>
      <c r="H2168">
        <v>2</v>
      </c>
      <c r="I2168">
        <v>8</v>
      </c>
      <c r="J2168">
        <v>1</v>
      </c>
      <c r="K2168">
        <f t="shared" si="35"/>
        <v>2</v>
      </c>
    </row>
    <row r="2169" spans="2:11" x14ac:dyDescent="0.35">
      <c r="B2169" t="s">
        <v>2165</v>
      </c>
      <c r="C2169">
        <v>52</v>
      </c>
      <c r="D2169">
        <v>3</v>
      </c>
      <c r="E2169">
        <v>0</v>
      </c>
      <c r="F2169">
        <v>0</v>
      </c>
      <c r="G2169">
        <v>4</v>
      </c>
      <c r="H2169">
        <v>6</v>
      </c>
      <c r="I2169">
        <v>23</v>
      </c>
      <c r="J2169">
        <v>17</v>
      </c>
      <c r="K2169">
        <f t="shared" si="35"/>
        <v>4</v>
      </c>
    </row>
    <row r="2170" spans="2:11" x14ac:dyDescent="0.35">
      <c r="B2170" t="s">
        <v>2166</v>
      </c>
      <c r="C2170">
        <v>36</v>
      </c>
      <c r="D2170">
        <v>2</v>
      </c>
      <c r="E2170">
        <v>0</v>
      </c>
      <c r="F2170">
        <v>0</v>
      </c>
      <c r="G2170">
        <v>2</v>
      </c>
      <c r="H2170">
        <v>7</v>
      </c>
      <c r="I2170">
        <v>15</v>
      </c>
      <c r="J2170">
        <v>11</v>
      </c>
      <c r="K2170">
        <f t="shared" si="35"/>
        <v>4</v>
      </c>
    </row>
    <row r="2171" spans="2:11" x14ac:dyDescent="0.35">
      <c r="B2171" t="s">
        <v>2167</v>
      </c>
      <c r="C2171">
        <v>58</v>
      </c>
      <c r="D2171">
        <v>1</v>
      </c>
      <c r="E2171">
        <v>0</v>
      </c>
      <c r="F2171">
        <v>1</v>
      </c>
      <c r="G2171">
        <v>16</v>
      </c>
      <c r="H2171">
        <v>3</v>
      </c>
      <c r="I2171">
        <v>8</v>
      </c>
      <c r="J2171">
        <v>30</v>
      </c>
      <c r="K2171">
        <f t="shared" si="35"/>
        <v>5</v>
      </c>
    </row>
    <row r="2172" spans="2:11" x14ac:dyDescent="0.35">
      <c r="B2172" t="s">
        <v>2168</v>
      </c>
      <c r="C2172">
        <v>51</v>
      </c>
      <c r="D2172">
        <v>8</v>
      </c>
      <c r="E2172">
        <v>0</v>
      </c>
      <c r="F2172">
        <v>0</v>
      </c>
      <c r="G2172">
        <v>4</v>
      </c>
      <c r="H2172">
        <v>1</v>
      </c>
      <c r="I2172">
        <v>26</v>
      </c>
      <c r="J2172">
        <v>13</v>
      </c>
      <c r="K2172">
        <f t="shared" si="35"/>
        <v>4</v>
      </c>
    </row>
    <row r="2173" spans="2:11" x14ac:dyDescent="0.35">
      <c r="B2173" t="s">
        <v>2169</v>
      </c>
      <c r="C2173">
        <v>25</v>
      </c>
      <c r="D2173">
        <v>6</v>
      </c>
      <c r="E2173">
        <v>0</v>
      </c>
      <c r="F2173">
        <v>0</v>
      </c>
      <c r="G2173">
        <v>4</v>
      </c>
      <c r="H2173">
        <v>1</v>
      </c>
      <c r="I2173">
        <v>11</v>
      </c>
      <c r="J2173">
        <v>4</v>
      </c>
      <c r="K2173">
        <f t="shared" si="35"/>
        <v>4</v>
      </c>
    </row>
    <row r="2174" spans="2:11" x14ac:dyDescent="0.35">
      <c r="B2174" t="s">
        <v>2170</v>
      </c>
      <c r="C2174">
        <v>65</v>
      </c>
      <c r="D2174">
        <v>0</v>
      </c>
      <c r="E2174">
        <v>0</v>
      </c>
      <c r="F2174">
        <v>1</v>
      </c>
      <c r="G2174">
        <v>16</v>
      </c>
      <c r="H2174">
        <v>4</v>
      </c>
      <c r="I2174">
        <v>40</v>
      </c>
      <c r="J2174">
        <v>5</v>
      </c>
      <c r="K2174">
        <f t="shared" si="35"/>
        <v>4</v>
      </c>
    </row>
    <row r="2175" spans="2:11" x14ac:dyDescent="0.35">
      <c r="B2175" t="s">
        <v>2171</v>
      </c>
      <c r="C2175">
        <v>21</v>
      </c>
      <c r="D2175">
        <v>1</v>
      </c>
      <c r="E2175">
        <v>0</v>
      </c>
      <c r="F2175">
        <v>0</v>
      </c>
      <c r="G2175">
        <v>10</v>
      </c>
      <c r="H2175">
        <v>0</v>
      </c>
      <c r="I2175">
        <v>3</v>
      </c>
      <c r="J2175">
        <v>8</v>
      </c>
      <c r="K2175">
        <f t="shared" si="35"/>
        <v>3</v>
      </c>
    </row>
    <row r="2176" spans="2:11" x14ac:dyDescent="0.35">
      <c r="B2176" t="s">
        <v>2172</v>
      </c>
      <c r="C2176">
        <v>24</v>
      </c>
      <c r="D2176">
        <v>1</v>
      </c>
      <c r="E2176">
        <v>0</v>
      </c>
      <c r="F2176">
        <v>0</v>
      </c>
      <c r="G2176">
        <v>5</v>
      </c>
      <c r="H2176">
        <v>1</v>
      </c>
      <c r="I2176">
        <v>16</v>
      </c>
      <c r="J2176">
        <v>2</v>
      </c>
      <c r="K2176">
        <f t="shared" si="35"/>
        <v>4</v>
      </c>
    </row>
    <row r="2177" spans="2:11" x14ac:dyDescent="0.35">
      <c r="B2177" t="s">
        <v>2173</v>
      </c>
      <c r="C2177">
        <v>127</v>
      </c>
      <c r="D2177">
        <v>2</v>
      </c>
      <c r="E2177">
        <v>0</v>
      </c>
      <c r="F2177">
        <v>0</v>
      </c>
      <c r="G2177">
        <v>26</v>
      </c>
      <c r="H2177">
        <v>20</v>
      </c>
      <c r="I2177">
        <v>31</v>
      </c>
      <c r="J2177">
        <v>49</v>
      </c>
      <c r="K2177">
        <f t="shared" si="35"/>
        <v>4</v>
      </c>
    </row>
    <row r="2178" spans="2:11" x14ac:dyDescent="0.35">
      <c r="B2178" t="s">
        <v>2174</v>
      </c>
      <c r="C2178">
        <v>69</v>
      </c>
      <c r="D2178">
        <v>5</v>
      </c>
      <c r="E2178">
        <v>0</v>
      </c>
      <c r="F2178">
        <v>0</v>
      </c>
      <c r="G2178">
        <v>10</v>
      </c>
      <c r="H2178">
        <v>9</v>
      </c>
      <c r="I2178">
        <v>25</v>
      </c>
      <c r="J2178">
        <v>21</v>
      </c>
      <c r="K2178">
        <f t="shared" si="35"/>
        <v>4</v>
      </c>
    </row>
    <row r="2179" spans="2:11" x14ac:dyDescent="0.35">
      <c r="B2179" t="s">
        <v>2175</v>
      </c>
      <c r="C2179">
        <v>58</v>
      </c>
      <c r="D2179">
        <v>3</v>
      </c>
      <c r="E2179">
        <v>0</v>
      </c>
      <c r="F2179">
        <v>0</v>
      </c>
      <c r="G2179">
        <v>8</v>
      </c>
      <c r="H2179">
        <v>3</v>
      </c>
      <c r="I2179">
        <v>27</v>
      </c>
      <c r="J2179">
        <v>18</v>
      </c>
      <c r="K2179">
        <f t="shared" si="35"/>
        <v>4</v>
      </c>
    </row>
    <row r="2180" spans="2:11" x14ac:dyDescent="0.35">
      <c r="B2180" t="s">
        <v>2176</v>
      </c>
      <c r="C2180">
        <v>19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12</v>
      </c>
      <c r="J2180">
        <v>8</v>
      </c>
      <c r="K2180">
        <f t="shared" si="35"/>
        <v>1</v>
      </c>
    </row>
    <row r="2181" spans="2:11" x14ac:dyDescent="0.35">
      <c r="B2181" t="s">
        <v>2177</v>
      </c>
      <c r="C2181">
        <v>44</v>
      </c>
      <c r="D2181">
        <v>2</v>
      </c>
      <c r="E2181">
        <v>0</v>
      </c>
      <c r="F2181">
        <v>0</v>
      </c>
      <c r="G2181">
        <v>12</v>
      </c>
      <c r="H2181">
        <v>2</v>
      </c>
      <c r="I2181">
        <v>17</v>
      </c>
      <c r="J2181">
        <v>12</v>
      </c>
      <c r="K2181">
        <f t="shared" si="35"/>
        <v>4</v>
      </c>
    </row>
    <row r="2182" spans="2:11" x14ac:dyDescent="0.35">
      <c r="B2182" t="s">
        <v>2178</v>
      </c>
      <c r="C2182">
        <v>87</v>
      </c>
      <c r="D2182">
        <v>1</v>
      </c>
      <c r="E2182">
        <v>0</v>
      </c>
      <c r="F2182">
        <v>0</v>
      </c>
      <c r="G2182">
        <v>0</v>
      </c>
      <c r="H2182">
        <v>2</v>
      </c>
      <c r="I2182">
        <v>60</v>
      </c>
      <c r="J2182">
        <v>25</v>
      </c>
      <c r="K2182">
        <f t="shared" si="35"/>
        <v>3</v>
      </c>
    </row>
    <row r="2183" spans="2:11" x14ac:dyDescent="0.35">
      <c r="B2183" t="s">
        <v>2179</v>
      </c>
      <c r="C2183">
        <v>19</v>
      </c>
      <c r="D2183">
        <v>2</v>
      </c>
      <c r="E2183">
        <v>0</v>
      </c>
      <c r="F2183">
        <v>0</v>
      </c>
      <c r="G2183">
        <v>0</v>
      </c>
      <c r="H2183">
        <v>0</v>
      </c>
      <c r="I2183">
        <v>5</v>
      </c>
      <c r="J2183">
        <v>13</v>
      </c>
      <c r="K2183">
        <f t="shared" si="35"/>
        <v>2</v>
      </c>
    </row>
    <row r="2184" spans="2:11" x14ac:dyDescent="0.35">
      <c r="B2184" t="s">
        <v>2180</v>
      </c>
      <c r="C2184">
        <v>10</v>
      </c>
      <c r="D2184">
        <v>0</v>
      </c>
      <c r="E2184">
        <v>0</v>
      </c>
      <c r="F2184">
        <v>0</v>
      </c>
      <c r="G2184">
        <v>0</v>
      </c>
      <c r="H2184">
        <v>1</v>
      </c>
      <c r="I2184">
        <v>2</v>
      </c>
      <c r="J2184">
        <v>8</v>
      </c>
      <c r="K2184">
        <f t="shared" si="35"/>
        <v>2</v>
      </c>
    </row>
    <row r="2185" spans="2:11" x14ac:dyDescent="0.35">
      <c r="B2185" t="s">
        <v>2181</v>
      </c>
      <c r="C2185">
        <v>28</v>
      </c>
      <c r="D2185">
        <v>4</v>
      </c>
      <c r="E2185">
        <v>0</v>
      </c>
      <c r="F2185">
        <v>0</v>
      </c>
      <c r="G2185">
        <v>4</v>
      </c>
      <c r="H2185">
        <v>1</v>
      </c>
      <c r="I2185">
        <v>6</v>
      </c>
      <c r="J2185">
        <v>14</v>
      </c>
      <c r="K2185">
        <f t="shared" si="35"/>
        <v>4</v>
      </c>
    </row>
    <row r="2186" spans="2:11" x14ac:dyDescent="0.35">
      <c r="B2186" t="s">
        <v>2182</v>
      </c>
      <c r="C2186">
        <v>31</v>
      </c>
      <c r="D2186">
        <v>4</v>
      </c>
      <c r="E2186">
        <v>0</v>
      </c>
      <c r="F2186">
        <v>0</v>
      </c>
      <c r="G2186">
        <v>3</v>
      </c>
      <c r="H2186">
        <v>3</v>
      </c>
      <c r="I2186">
        <v>15</v>
      </c>
      <c r="J2186">
        <v>7</v>
      </c>
      <c r="K2186">
        <f t="shared" si="35"/>
        <v>4</v>
      </c>
    </row>
    <row r="2187" spans="2:11" x14ac:dyDescent="0.35">
      <c r="B2187" t="s">
        <v>2183</v>
      </c>
      <c r="C2187">
        <v>20</v>
      </c>
      <c r="D2187">
        <v>1</v>
      </c>
      <c r="E2187">
        <v>0</v>
      </c>
      <c r="F2187">
        <v>0</v>
      </c>
      <c r="G2187">
        <v>2</v>
      </c>
      <c r="H2187">
        <v>0</v>
      </c>
      <c r="I2187">
        <v>13</v>
      </c>
      <c r="J2187">
        <v>5</v>
      </c>
      <c r="K2187">
        <f t="shared" si="35"/>
        <v>3</v>
      </c>
    </row>
    <row r="2188" spans="2:11" x14ac:dyDescent="0.35">
      <c r="B2188" t="s">
        <v>2184</v>
      </c>
      <c r="C2188">
        <v>14</v>
      </c>
      <c r="D2188">
        <v>2</v>
      </c>
      <c r="E2188">
        <v>0</v>
      </c>
      <c r="F2188">
        <v>2</v>
      </c>
      <c r="G2188">
        <v>0</v>
      </c>
      <c r="H2188">
        <v>0</v>
      </c>
      <c r="I2188">
        <v>3</v>
      </c>
      <c r="J2188">
        <v>8</v>
      </c>
      <c r="K2188">
        <f t="shared" ref="K2188:K2251" si="36">COUNTIF(D2188:I2188, "&gt;0")</f>
        <v>3</v>
      </c>
    </row>
    <row r="2189" spans="2:11" x14ac:dyDescent="0.35">
      <c r="B2189" t="s">
        <v>2185</v>
      </c>
      <c r="C2189">
        <v>108</v>
      </c>
      <c r="D2189">
        <v>4</v>
      </c>
      <c r="E2189">
        <v>0</v>
      </c>
      <c r="F2189">
        <v>1</v>
      </c>
      <c r="G2189">
        <v>25</v>
      </c>
      <c r="H2189">
        <v>17</v>
      </c>
      <c r="I2189">
        <v>26</v>
      </c>
      <c r="J2189">
        <v>36</v>
      </c>
      <c r="K2189">
        <f t="shared" si="36"/>
        <v>5</v>
      </c>
    </row>
    <row r="2190" spans="2:11" x14ac:dyDescent="0.35">
      <c r="B2190" t="s">
        <v>2186</v>
      </c>
      <c r="C2190">
        <v>9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1</v>
      </c>
      <c r="J2190">
        <v>9</v>
      </c>
      <c r="K2190">
        <f t="shared" si="36"/>
        <v>1</v>
      </c>
    </row>
    <row r="2191" spans="2:11" x14ac:dyDescent="0.35">
      <c r="B2191" t="s">
        <v>2187</v>
      </c>
      <c r="C2191">
        <v>80</v>
      </c>
      <c r="D2191">
        <v>6</v>
      </c>
      <c r="E2191">
        <v>0</v>
      </c>
      <c r="F2191">
        <v>0</v>
      </c>
      <c r="G2191">
        <v>12</v>
      </c>
      <c r="H2191">
        <v>12</v>
      </c>
      <c r="I2191">
        <v>31</v>
      </c>
      <c r="J2191">
        <v>20</v>
      </c>
      <c r="K2191">
        <f t="shared" si="36"/>
        <v>4</v>
      </c>
    </row>
    <row r="2192" spans="2:11" x14ac:dyDescent="0.35">
      <c r="B2192" t="s">
        <v>2188</v>
      </c>
      <c r="C2192">
        <v>74</v>
      </c>
      <c r="D2192">
        <v>0</v>
      </c>
      <c r="E2192">
        <v>0</v>
      </c>
      <c r="F2192">
        <v>0</v>
      </c>
      <c r="G2192">
        <v>1</v>
      </c>
      <c r="H2192">
        <v>0</v>
      </c>
      <c r="I2192">
        <v>46</v>
      </c>
      <c r="J2192">
        <v>28</v>
      </c>
      <c r="K2192">
        <f t="shared" si="36"/>
        <v>2</v>
      </c>
    </row>
    <row r="2193" spans="2:11" x14ac:dyDescent="0.35">
      <c r="B2193" t="s">
        <v>2189</v>
      </c>
      <c r="C2193">
        <v>24</v>
      </c>
      <c r="D2193">
        <v>1</v>
      </c>
      <c r="E2193">
        <v>0</v>
      </c>
      <c r="F2193">
        <v>0</v>
      </c>
      <c r="G2193">
        <v>11</v>
      </c>
      <c r="H2193">
        <v>0</v>
      </c>
      <c r="I2193">
        <v>9</v>
      </c>
      <c r="J2193">
        <v>4</v>
      </c>
      <c r="K2193">
        <f t="shared" si="36"/>
        <v>3</v>
      </c>
    </row>
    <row r="2194" spans="2:11" x14ac:dyDescent="0.35">
      <c r="B2194" t="s">
        <v>2190</v>
      </c>
      <c r="C2194">
        <v>33</v>
      </c>
      <c r="D2194">
        <v>0</v>
      </c>
      <c r="E2194">
        <v>0</v>
      </c>
      <c r="F2194">
        <v>0</v>
      </c>
      <c r="G2194">
        <v>6</v>
      </c>
      <c r="H2194">
        <v>3</v>
      </c>
      <c r="I2194">
        <v>10</v>
      </c>
      <c r="J2194">
        <v>15</v>
      </c>
      <c r="K2194">
        <f t="shared" si="36"/>
        <v>3</v>
      </c>
    </row>
    <row r="2195" spans="2:11" x14ac:dyDescent="0.35">
      <c r="B2195" t="s">
        <v>2191</v>
      </c>
      <c r="C2195">
        <v>33</v>
      </c>
      <c r="D2195">
        <v>4</v>
      </c>
      <c r="E2195">
        <v>0</v>
      </c>
      <c r="F2195">
        <v>1</v>
      </c>
      <c r="G2195">
        <v>3</v>
      </c>
      <c r="H2195">
        <v>1</v>
      </c>
      <c r="I2195">
        <v>9</v>
      </c>
      <c r="J2195">
        <v>16</v>
      </c>
      <c r="K2195">
        <f t="shared" si="36"/>
        <v>5</v>
      </c>
    </row>
    <row r="2196" spans="2:11" x14ac:dyDescent="0.35">
      <c r="B2196" t="s">
        <v>2192</v>
      </c>
      <c r="C2196">
        <v>3</v>
      </c>
      <c r="D2196">
        <v>1</v>
      </c>
      <c r="E2196">
        <v>0</v>
      </c>
      <c r="F2196">
        <v>0</v>
      </c>
      <c r="G2196">
        <v>1</v>
      </c>
      <c r="H2196">
        <v>0</v>
      </c>
      <c r="I2196">
        <v>1</v>
      </c>
      <c r="J2196">
        <v>1</v>
      </c>
      <c r="K2196">
        <f t="shared" si="36"/>
        <v>3</v>
      </c>
    </row>
    <row r="2197" spans="2:11" x14ac:dyDescent="0.35">
      <c r="B2197" t="s">
        <v>2193</v>
      </c>
      <c r="C2197">
        <v>46</v>
      </c>
      <c r="D2197">
        <v>3</v>
      </c>
      <c r="E2197">
        <v>2</v>
      </c>
      <c r="F2197">
        <v>1</v>
      </c>
      <c r="G2197">
        <v>0</v>
      </c>
      <c r="H2197">
        <v>2</v>
      </c>
      <c r="I2197">
        <v>8</v>
      </c>
      <c r="J2197">
        <v>31</v>
      </c>
      <c r="K2197">
        <f t="shared" si="36"/>
        <v>5</v>
      </c>
    </row>
    <row r="2198" spans="2:11" x14ac:dyDescent="0.35">
      <c r="B2198" t="s">
        <v>2194</v>
      </c>
      <c r="C2198">
        <v>43</v>
      </c>
      <c r="D2198">
        <v>2</v>
      </c>
      <c r="E2198">
        <v>0</v>
      </c>
      <c r="F2198">
        <v>0</v>
      </c>
      <c r="G2198">
        <v>4</v>
      </c>
      <c r="H2198">
        <v>5</v>
      </c>
      <c r="I2198">
        <v>3</v>
      </c>
      <c r="J2198">
        <v>30</v>
      </c>
      <c r="K2198">
        <f t="shared" si="36"/>
        <v>4</v>
      </c>
    </row>
    <row r="2199" spans="2:11" x14ac:dyDescent="0.35">
      <c r="B2199" t="s">
        <v>2195</v>
      </c>
      <c r="C2199">
        <v>19</v>
      </c>
      <c r="D2199">
        <v>5</v>
      </c>
      <c r="E2199">
        <v>0</v>
      </c>
      <c r="F2199">
        <v>1</v>
      </c>
      <c r="G2199">
        <v>2</v>
      </c>
      <c r="H2199">
        <v>4</v>
      </c>
      <c r="I2199">
        <v>6</v>
      </c>
      <c r="J2199">
        <v>2</v>
      </c>
      <c r="K2199">
        <f t="shared" si="36"/>
        <v>5</v>
      </c>
    </row>
    <row r="2200" spans="2:11" x14ac:dyDescent="0.35">
      <c r="B2200" t="s">
        <v>2196</v>
      </c>
      <c r="C2200">
        <v>72</v>
      </c>
      <c r="D2200">
        <v>1</v>
      </c>
      <c r="E2200">
        <v>0</v>
      </c>
      <c r="F2200">
        <v>0</v>
      </c>
      <c r="G2200">
        <v>5</v>
      </c>
      <c r="H2200">
        <v>5</v>
      </c>
      <c r="I2200">
        <v>14</v>
      </c>
      <c r="J2200">
        <v>48</v>
      </c>
      <c r="K2200">
        <f t="shared" si="36"/>
        <v>4</v>
      </c>
    </row>
    <row r="2201" spans="2:11" x14ac:dyDescent="0.35">
      <c r="B2201" t="s">
        <v>2197</v>
      </c>
      <c r="C2201">
        <v>17</v>
      </c>
      <c r="D2201">
        <v>5</v>
      </c>
      <c r="E2201">
        <v>0</v>
      </c>
      <c r="F2201">
        <v>0</v>
      </c>
      <c r="G2201">
        <v>1</v>
      </c>
      <c r="H2201">
        <v>0</v>
      </c>
      <c r="I2201">
        <v>9</v>
      </c>
      <c r="J2201">
        <v>3</v>
      </c>
      <c r="K2201">
        <f t="shared" si="36"/>
        <v>3</v>
      </c>
    </row>
    <row r="2202" spans="2:11" x14ac:dyDescent="0.35">
      <c r="B2202" t="s">
        <v>2198</v>
      </c>
      <c r="C2202">
        <v>50</v>
      </c>
      <c r="D2202">
        <v>0</v>
      </c>
      <c r="E2202">
        <v>0</v>
      </c>
      <c r="F2202">
        <v>0</v>
      </c>
      <c r="G2202">
        <v>1</v>
      </c>
      <c r="H2202">
        <v>3</v>
      </c>
      <c r="I2202">
        <v>23</v>
      </c>
      <c r="J2202">
        <v>24</v>
      </c>
      <c r="K2202">
        <f t="shared" si="36"/>
        <v>3</v>
      </c>
    </row>
    <row r="2203" spans="2:11" x14ac:dyDescent="0.35">
      <c r="B2203" t="s">
        <v>2199</v>
      </c>
      <c r="C2203">
        <v>15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1</v>
      </c>
      <c r="J2203">
        <v>15</v>
      </c>
      <c r="K2203">
        <f t="shared" si="36"/>
        <v>1</v>
      </c>
    </row>
    <row r="2204" spans="2:11" x14ac:dyDescent="0.35">
      <c r="B2204" t="s">
        <v>2200</v>
      </c>
      <c r="C2204">
        <v>42</v>
      </c>
      <c r="D2204">
        <v>1</v>
      </c>
      <c r="E2204">
        <v>0</v>
      </c>
      <c r="F2204">
        <v>2</v>
      </c>
      <c r="G2204">
        <v>0</v>
      </c>
      <c r="H2204">
        <v>18</v>
      </c>
      <c r="I2204">
        <v>3</v>
      </c>
      <c r="J2204">
        <v>19</v>
      </c>
      <c r="K2204">
        <f t="shared" si="36"/>
        <v>4</v>
      </c>
    </row>
    <row r="2205" spans="2:11" x14ac:dyDescent="0.35">
      <c r="B2205" t="s">
        <v>2201</v>
      </c>
      <c r="C2205">
        <v>10</v>
      </c>
      <c r="D2205">
        <v>0</v>
      </c>
      <c r="E2205">
        <v>0</v>
      </c>
      <c r="F2205">
        <v>0</v>
      </c>
      <c r="G2205">
        <v>4</v>
      </c>
      <c r="H2205">
        <v>2</v>
      </c>
      <c r="I2205">
        <v>1</v>
      </c>
      <c r="J2205">
        <v>4</v>
      </c>
      <c r="K2205">
        <f t="shared" si="36"/>
        <v>3</v>
      </c>
    </row>
    <row r="2206" spans="2:11" x14ac:dyDescent="0.35">
      <c r="B2206" t="s">
        <v>2202</v>
      </c>
      <c r="C2206">
        <v>11</v>
      </c>
      <c r="D2206">
        <v>0</v>
      </c>
      <c r="E2206">
        <v>0</v>
      </c>
      <c r="F2206">
        <v>0</v>
      </c>
      <c r="G2206">
        <v>0</v>
      </c>
      <c r="H2206">
        <v>1</v>
      </c>
      <c r="I2206">
        <v>4</v>
      </c>
      <c r="J2206">
        <v>7</v>
      </c>
      <c r="K2206">
        <f t="shared" si="36"/>
        <v>2</v>
      </c>
    </row>
    <row r="2207" spans="2:11" x14ac:dyDescent="0.35">
      <c r="B2207" t="s">
        <v>2203</v>
      </c>
      <c r="C2207">
        <v>11</v>
      </c>
      <c r="D2207">
        <v>0</v>
      </c>
      <c r="E2207">
        <v>0</v>
      </c>
      <c r="F2207">
        <v>0</v>
      </c>
      <c r="G2207">
        <v>0</v>
      </c>
      <c r="H2207">
        <v>1</v>
      </c>
      <c r="I2207">
        <v>4</v>
      </c>
      <c r="J2207">
        <v>7</v>
      </c>
      <c r="K2207">
        <f t="shared" si="36"/>
        <v>2</v>
      </c>
    </row>
    <row r="2208" spans="2:11" x14ac:dyDescent="0.35">
      <c r="B2208" t="s">
        <v>2204</v>
      </c>
      <c r="C2208">
        <v>18</v>
      </c>
      <c r="D2208">
        <v>0</v>
      </c>
      <c r="E2208">
        <v>0</v>
      </c>
      <c r="F2208">
        <v>0</v>
      </c>
      <c r="G2208">
        <v>3</v>
      </c>
      <c r="H2208">
        <v>5</v>
      </c>
      <c r="I2208">
        <v>7</v>
      </c>
      <c r="J2208">
        <v>4</v>
      </c>
      <c r="K2208">
        <f t="shared" si="36"/>
        <v>3</v>
      </c>
    </row>
    <row r="2209" spans="2:11" x14ac:dyDescent="0.35">
      <c r="B2209" t="s">
        <v>2205</v>
      </c>
      <c r="C2209">
        <v>8</v>
      </c>
      <c r="D2209">
        <v>1</v>
      </c>
      <c r="E2209">
        <v>0</v>
      </c>
      <c r="F2209">
        <v>0</v>
      </c>
      <c r="G2209">
        <v>0</v>
      </c>
      <c r="H2209">
        <v>1</v>
      </c>
      <c r="I2209">
        <v>5</v>
      </c>
      <c r="J2209">
        <v>2</v>
      </c>
      <c r="K2209">
        <f t="shared" si="36"/>
        <v>3</v>
      </c>
    </row>
    <row r="2210" spans="2:11" x14ac:dyDescent="0.35">
      <c r="B2210" t="s">
        <v>2206</v>
      </c>
      <c r="C2210">
        <v>85</v>
      </c>
      <c r="D2210">
        <v>3</v>
      </c>
      <c r="E2210">
        <v>1</v>
      </c>
      <c r="F2210">
        <v>0</v>
      </c>
      <c r="G2210">
        <v>1</v>
      </c>
      <c r="H2210">
        <v>27</v>
      </c>
      <c r="I2210">
        <v>10</v>
      </c>
      <c r="J2210">
        <v>44</v>
      </c>
      <c r="K2210">
        <f t="shared" si="36"/>
        <v>5</v>
      </c>
    </row>
    <row r="2211" spans="2:11" x14ac:dyDescent="0.35">
      <c r="B2211" t="s">
        <v>2207</v>
      </c>
      <c r="C2211">
        <v>17</v>
      </c>
      <c r="D2211">
        <v>1</v>
      </c>
      <c r="E2211">
        <v>1</v>
      </c>
      <c r="F2211">
        <v>0</v>
      </c>
      <c r="G2211">
        <v>0</v>
      </c>
      <c r="H2211">
        <v>0</v>
      </c>
      <c r="I2211">
        <v>8</v>
      </c>
      <c r="J2211">
        <v>8</v>
      </c>
      <c r="K2211">
        <f t="shared" si="36"/>
        <v>3</v>
      </c>
    </row>
    <row r="2212" spans="2:11" x14ac:dyDescent="0.35">
      <c r="B2212" t="s">
        <v>2208</v>
      </c>
      <c r="C2212">
        <v>26</v>
      </c>
      <c r="D2212">
        <v>1</v>
      </c>
      <c r="E2212">
        <v>0</v>
      </c>
      <c r="F2212">
        <v>1</v>
      </c>
      <c r="G2212">
        <v>0</v>
      </c>
      <c r="H2212">
        <v>7</v>
      </c>
      <c r="I2212">
        <v>10</v>
      </c>
      <c r="J2212">
        <v>8</v>
      </c>
      <c r="K2212">
        <f t="shared" si="36"/>
        <v>4</v>
      </c>
    </row>
    <row r="2213" spans="2:11" x14ac:dyDescent="0.35">
      <c r="B2213" t="s">
        <v>2209</v>
      </c>
      <c r="C2213">
        <v>63</v>
      </c>
      <c r="D2213">
        <v>0</v>
      </c>
      <c r="E2213">
        <v>0</v>
      </c>
      <c r="F2213">
        <v>0</v>
      </c>
      <c r="G2213">
        <v>3</v>
      </c>
      <c r="H2213">
        <v>8</v>
      </c>
      <c r="I2213">
        <v>13</v>
      </c>
      <c r="J2213">
        <v>40</v>
      </c>
      <c r="K2213">
        <f t="shared" si="36"/>
        <v>3</v>
      </c>
    </row>
    <row r="2214" spans="2:11" x14ac:dyDescent="0.35">
      <c r="B2214" t="s">
        <v>2210</v>
      </c>
      <c r="C2214">
        <v>15</v>
      </c>
      <c r="D2214">
        <v>1</v>
      </c>
      <c r="E2214">
        <v>0</v>
      </c>
      <c r="F2214">
        <v>0</v>
      </c>
      <c r="G2214">
        <v>5</v>
      </c>
      <c r="H2214">
        <v>0</v>
      </c>
      <c r="I2214">
        <v>4</v>
      </c>
      <c r="J2214">
        <v>6</v>
      </c>
      <c r="K2214">
        <f t="shared" si="36"/>
        <v>3</v>
      </c>
    </row>
    <row r="2215" spans="2:11" x14ac:dyDescent="0.35">
      <c r="B2215" t="s">
        <v>2211</v>
      </c>
      <c r="C2215">
        <v>9</v>
      </c>
      <c r="D2215">
        <v>0</v>
      </c>
      <c r="E2215">
        <v>0</v>
      </c>
      <c r="F2215">
        <v>0</v>
      </c>
      <c r="G2215">
        <v>0</v>
      </c>
      <c r="H2215">
        <v>1</v>
      </c>
      <c r="I2215">
        <v>1</v>
      </c>
      <c r="J2215">
        <v>8</v>
      </c>
      <c r="K2215">
        <f t="shared" si="36"/>
        <v>2</v>
      </c>
    </row>
    <row r="2216" spans="2:11" x14ac:dyDescent="0.35">
      <c r="B2216" t="s">
        <v>2212</v>
      </c>
      <c r="C2216">
        <v>22</v>
      </c>
      <c r="D2216">
        <v>6</v>
      </c>
      <c r="E2216">
        <v>0</v>
      </c>
      <c r="F2216">
        <v>0</v>
      </c>
      <c r="G2216">
        <v>0</v>
      </c>
      <c r="H2216">
        <v>0</v>
      </c>
      <c r="I2216">
        <v>7</v>
      </c>
      <c r="J2216">
        <v>10</v>
      </c>
      <c r="K2216">
        <f t="shared" si="36"/>
        <v>2</v>
      </c>
    </row>
    <row r="2217" spans="2:11" x14ac:dyDescent="0.35">
      <c r="B2217" t="s">
        <v>2213</v>
      </c>
      <c r="C2217">
        <v>37</v>
      </c>
      <c r="D2217">
        <v>4</v>
      </c>
      <c r="E2217">
        <v>1</v>
      </c>
      <c r="F2217">
        <v>0</v>
      </c>
      <c r="G2217">
        <v>2</v>
      </c>
      <c r="H2217">
        <v>6</v>
      </c>
      <c r="I2217">
        <v>6</v>
      </c>
      <c r="J2217">
        <v>19</v>
      </c>
      <c r="K2217">
        <f t="shared" si="36"/>
        <v>5</v>
      </c>
    </row>
    <row r="2218" spans="2:11" x14ac:dyDescent="0.35">
      <c r="B2218" t="s">
        <v>2214</v>
      </c>
      <c r="C2218">
        <v>21</v>
      </c>
      <c r="D2218">
        <v>3</v>
      </c>
      <c r="E2218">
        <v>2</v>
      </c>
      <c r="F2218">
        <v>2</v>
      </c>
      <c r="G2218">
        <v>0</v>
      </c>
      <c r="H2218">
        <v>1</v>
      </c>
      <c r="I2218">
        <v>3</v>
      </c>
      <c r="J2218">
        <v>11</v>
      </c>
      <c r="K2218">
        <f t="shared" si="36"/>
        <v>5</v>
      </c>
    </row>
    <row r="2219" spans="2:11" x14ac:dyDescent="0.35">
      <c r="B2219" t="s">
        <v>2215</v>
      </c>
      <c r="C2219">
        <v>11</v>
      </c>
      <c r="D2219">
        <v>3</v>
      </c>
      <c r="E2219">
        <v>1</v>
      </c>
      <c r="F2219">
        <v>0</v>
      </c>
      <c r="G2219">
        <v>0</v>
      </c>
      <c r="H2219">
        <v>0</v>
      </c>
      <c r="I2219">
        <v>0</v>
      </c>
      <c r="J2219">
        <v>8</v>
      </c>
      <c r="K2219">
        <f t="shared" si="36"/>
        <v>2</v>
      </c>
    </row>
    <row r="2220" spans="2:11" x14ac:dyDescent="0.35">
      <c r="B2220" t="s">
        <v>2216</v>
      </c>
      <c r="C2220">
        <v>4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5</v>
      </c>
      <c r="K2220">
        <f t="shared" si="36"/>
        <v>0</v>
      </c>
    </row>
    <row r="2221" spans="2:11" x14ac:dyDescent="0.35">
      <c r="B2221" t="s">
        <v>2217</v>
      </c>
      <c r="C2221">
        <v>47</v>
      </c>
      <c r="D2221">
        <v>4</v>
      </c>
      <c r="E2221">
        <v>0</v>
      </c>
      <c r="F2221">
        <v>0</v>
      </c>
      <c r="G2221">
        <v>2</v>
      </c>
      <c r="H2221">
        <v>4</v>
      </c>
      <c r="I2221">
        <v>7</v>
      </c>
      <c r="J2221">
        <v>31</v>
      </c>
      <c r="K2221">
        <f t="shared" si="36"/>
        <v>4</v>
      </c>
    </row>
    <row r="2222" spans="2:11" x14ac:dyDescent="0.35">
      <c r="B2222" t="s">
        <v>2218</v>
      </c>
      <c r="C2222">
        <v>26</v>
      </c>
      <c r="D2222">
        <v>2</v>
      </c>
      <c r="E2222">
        <v>1</v>
      </c>
      <c r="F2222">
        <v>1</v>
      </c>
      <c r="G2222">
        <v>1</v>
      </c>
      <c r="H2222">
        <v>1</v>
      </c>
      <c r="I2222">
        <v>8</v>
      </c>
      <c r="J2222">
        <v>13</v>
      </c>
      <c r="K2222">
        <f t="shared" si="36"/>
        <v>6</v>
      </c>
    </row>
    <row r="2223" spans="2:11" x14ac:dyDescent="0.35">
      <c r="B2223" t="s">
        <v>2219</v>
      </c>
      <c r="C2223">
        <v>35</v>
      </c>
      <c r="D2223">
        <v>1</v>
      </c>
      <c r="E2223">
        <v>1</v>
      </c>
      <c r="F2223">
        <v>0</v>
      </c>
      <c r="G2223">
        <v>9</v>
      </c>
      <c r="H2223">
        <v>2</v>
      </c>
      <c r="I2223">
        <v>8</v>
      </c>
      <c r="J2223">
        <v>15</v>
      </c>
      <c r="K2223">
        <f t="shared" si="36"/>
        <v>5</v>
      </c>
    </row>
    <row r="2224" spans="2:11" x14ac:dyDescent="0.35">
      <c r="B2224" t="s">
        <v>2220</v>
      </c>
      <c r="C2224">
        <v>3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1</v>
      </c>
      <c r="J2224">
        <v>3</v>
      </c>
      <c r="K2224">
        <f t="shared" si="36"/>
        <v>1</v>
      </c>
    </row>
    <row r="2225" spans="2:11" x14ac:dyDescent="0.35">
      <c r="B2225" t="s">
        <v>2221</v>
      </c>
      <c r="C2225">
        <v>53</v>
      </c>
      <c r="D2225">
        <v>5</v>
      </c>
      <c r="E2225">
        <v>1</v>
      </c>
      <c r="F2225">
        <v>2</v>
      </c>
      <c r="G2225">
        <v>2</v>
      </c>
      <c r="H2225">
        <v>3</v>
      </c>
      <c r="I2225">
        <v>8</v>
      </c>
      <c r="J2225">
        <v>33</v>
      </c>
      <c r="K2225">
        <f t="shared" si="36"/>
        <v>6</v>
      </c>
    </row>
    <row r="2226" spans="2:11" x14ac:dyDescent="0.35">
      <c r="B2226" t="s">
        <v>2222</v>
      </c>
      <c r="C2226">
        <v>97</v>
      </c>
      <c r="D2226">
        <v>2</v>
      </c>
      <c r="E2226">
        <v>0</v>
      </c>
      <c r="F2226">
        <v>0</v>
      </c>
      <c r="G2226">
        <v>0</v>
      </c>
      <c r="H2226">
        <v>17</v>
      </c>
      <c r="I2226">
        <v>13</v>
      </c>
      <c r="J2226">
        <v>66</v>
      </c>
      <c r="K2226">
        <f t="shared" si="36"/>
        <v>3</v>
      </c>
    </row>
    <row r="2227" spans="2:11" x14ac:dyDescent="0.35">
      <c r="B2227" t="s">
        <v>2223</v>
      </c>
      <c r="C2227">
        <v>45</v>
      </c>
      <c r="D2227">
        <v>0</v>
      </c>
      <c r="E2227">
        <v>1</v>
      </c>
      <c r="F2227">
        <v>0</v>
      </c>
      <c r="G2227">
        <v>0</v>
      </c>
      <c r="H2227">
        <v>3</v>
      </c>
      <c r="I2227">
        <v>18</v>
      </c>
      <c r="J2227">
        <v>24</v>
      </c>
      <c r="K2227">
        <f t="shared" si="36"/>
        <v>3</v>
      </c>
    </row>
    <row r="2228" spans="2:11" x14ac:dyDescent="0.35">
      <c r="B2228" t="s">
        <v>2224</v>
      </c>
      <c r="C2228">
        <v>22</v>
      </c>
      <c r="D2228">
        <v>3</v>
      </c>
      <c r="E2228">
        <v>0</v>
      </c>
      <c r="F2228">
        <v>0</v>
      </c>
      <c r="G2228">
        <v>1</v>
      </c>
      <c r="H2228">
        <v>2</v>
      </c>
      <c r="I2228">
        <v>9</v>
      </c>
      <c r="J2228">
        <v>8</v>
      </c>
      <c r="K2228">
        <f t="shared" si="36"/>
        <v>4</v>
      </c>
    </row>
    <row r="2229" spans="2:11" x14ac:dyDescent="0.35">
      <c r="B2229" t="s">
        <v>2225</v>
      </c>
      <c r="C2229">
        <v>23</v>
      </c>
      <c r="D2229">
        <v>4</v>
      </c>
      <c r="E2229">
        <v>0</v>
      </c>
      <c r="F2229">
        <v>0</v>
      </c>
      <c r="G2229">
        <v>0</v>
      </c>
      <c r="H2229">
        <v>1</v>
      </c>
      <c r="I2229">
        <v>8</v>
      </c>
      <c r="J2229">
        <v>11</v>
      </c>
      <c r="K2229">
        <f t="shared" si="36"/>
        <v>3</v>
      </c>
    </row>
    <row r="2230" spans="2:11" x14ac:dyDescent="0.35">
      <c r="B2230" t="s">
        <v>2226</v>
      </c>
      <c r="C2230">
        <v>32</v>
      </c>
      <c r="D2230">
        <v>4</v>
      </c>
      <c r="E2230">
        <v>0</v>
      </c>
      <c r="F2230">
        <v>1</v>
      </c>
      <c r="G2230">
        <v>1</v>
      </c>
      <c r="H2230">
        <v>9</v>
      </c>
      <c r="I2230">
        <v>8</v>
      </c>
      <c r="J2230">
        <v>10</v>
      </c>
      <c r="K2230">
        <f t="shared" si="36"/>
        <v>5</v>
      </c>
    </row>
    <row r="2231" spans="2:11" x14ac:dyDescent="0.35">
      <c r="B2231" t="s">
        <v>2227</v>
      </c>
      <c r="C2231">
        <v>35</v>
      </c>
      <c r="D2231">
        <v>1</v>
      </c>
      <c r="E2231">
        <v>0</v>
      </c>
      <c r="F2231">
        <v>0</v>
      </c>
      <c r="G2231">
        <v>0</v>
      </c>
      <c r="H2231">
        <v>14</v>
      </c>
      <c r="I2231">
        <v>6</v>
      </c>
      <c r="J2231">
        <v>15</v>
      </c>
      <c r="K2231">
        <f t="shared" si="36"/>
        <v>3</v>
      </c>
    </row>
    <row r="2232" spans="2:11" x14ac:dyDescent="0.35">
      <c r="B2232" t="s">
        <v>2228</v>
      </c>
      <c r="C2232">
        <v>39</v>
      </c>
      <c r="D2232">
        <v>1</v>
      </c>
      <c r="E2232">
        <v>0</v>
      </c>
      <c r="F2232">
        <v>0</v>
      </c>
      <c r="G2232">
        <v>2</v>
      </c>
      <c r="H2232">
        <v>5</v>
      </c>
      <c r="I2232">
        <v>7</v>
      </c>
      <c r="J2232">
        <v>25</v>
      </c>
      <c r="K2232">
        <f t="shared" si="36"/>
        <v>4</v>
      </c>
    </row>
    <row r="2233" spans="2:11" x14ac:dyDescent="0.35">
      <c r="B2233" t="s">
        <v>2229</v>
      </c>
      <c r="C2233">
        <v>27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7</v>
      </c>
      <c r="J2233">
        <v>21</v>
      </c>
      <c r="K2233">
        <f t="shared" si="36"/>
        <v>1</v>
      </c>
    </row>
    <row r="2234" spans="2:11" x14ac:dyDescent="0.35">
      <c r="B2234" t="s">
        <v>2230</v>
      </c>
      <c r="C2234">
        <v>10</v>
      </c>
      <c r="D2234">
        <v>0</v>
      </c>
      <c r="E2234">
        <v>0</v>
      </c>
      <c r="F2234">
        <v>1</v>
      </c>
      <c r="G2234">
        <v>0</v>
      </c>
      <c r="H2234">
        <v>3</v>
      </c>
      <c r="I2234">
        <v>4</v>
      </c>
      <c r="J2234">
        <v>3</v>
      </c>
      <c r="K2234">
        <f t="shared" si="36"/>
        <v>3</v>
      </c>
    </row>
    <row r="2235" spans="2:11" x14ac:dyDescent="0.35">
      <c r="B2235" t="s">
        <v>2231</v>
      </c>
      <c r="C2235">
        <v>23</v>
      </c>
      <c r="D2235">
        <v>2</v>
      </c>
      <c r="E2235">
        <v>1</v>
      </c>
      <c r="F2235">
        <v>0</v>
      </c>
      <c r="G2235">
        <v>0</v>
      </c>
      <c r="H2235">
        <v>1</v>
      </c>
      <c r="I2235">
        <v>7</v>
      </c>
      <c r="J2235">
        <v>13</v>
      </c>
      <c r="K2235">
        <f t="shared" si="36"/>
        <v>4</v>
      </c>
    </row>
    <row r="2236" spans="2:11" x14ac:dyDescent="0.35">
      <c r="B2236" t="s">
        <v>2232</v>
      </c>
      <c r="C2236">
        <v>14</v>
      </c>
      <c r="D2236">
        <v>2</v>
      </c>
      <c r="E2236">
        <v>1</v>
      </c>
      <c r="F2236">
        <v>1</v>
      </c>
      <c r="G2236">
        <v>0</v>
      </c>
      <c r="H2236">
        <v>1</v>
      </c>
      <c r="I2236">
        <v>2</v>
      </c>
      <c r="J2236">
        <v>8</v>
      </c>
      <c r="K2236">
        <f t="shared" si="36"/>
        <v>5</v>
      </c>
    </row>
    <row r="2237" spans="2:11" x14ac:dyDescent="0.35">
      <c r="B2237" t="s">
        <v>2233</v>
      </c>
      <c r="C2237">
        <v>8</v>
      </c>
      <c r="D2237">
        <v>0</v>
      </c>
      <c r="E2237">
        <v>0</v>
      </c>
      <c r="F2237">
        <v>0</v>
      </c>
      <c r="G2237">
        <v>0</v>
      </c>
      <c r="H2237">
        <v>1</v>
      </c>
      <c r="I2237">
        <v>4</v>
      </c>
      <c r="J2237">
        <v>4</v>
      </c>
      <c r="K2237">
        <f t="shared" si="36"/>
        <v>2</v>
      </c>
    </row>
    <row r="2238" spans="2:11" x14ac:dyDescent="0.35">
      <c r="B2238" t="s">
        <v>2234</v>
      </c>
      <c r="C2238">
        <v>19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12</v>
      </c>
      <c r="J2238">
        <v>8</v>
      </c>
      <c r="K2238">
        <f t="shared" si="36"/>
        <v>1</v>
      </c>
    </row>
    <row r="2239" spans="2:11" x14ac:dyDescent="0.35">
      <c r="B2239" t="s">
        <v>2235</v>
      </c>
      <c r="C2239">
        <v>10</v>
      </c>
      <c r="D2239">
        <v>1</v>
      </c>
      <c r="E2239">
        <v>0</v>
      </c>
      <c r="F2239">
        <v>1</v>
      </c>
      <c r="G2239">
        <v>0</v>
      </c>
      <c r="H2239">
        <v>1</v>
      </c>
      <c r="I2239">
        <v>2</v>
      </c>
      <c r="J2239">
        <v>6</v>
      </c>
      <c r="K2239">
        <f t="shared" si="36"/>
        <v>4</v>
      </c>
    </row>
    <row r="2240" spans="2:11" x14ac:dyDescent="0.35">
      <c r="B2240" t="s">
        <v>2236</v>
      </c>
      <c r="C2240">
        <v>7</v>
      </c>
      <c r="D2240">
        <v>0</v>
      </c>
      <c r="E2240">
        <v>0</v>
      </c>
      <c r="F2240">
        <v>0</v>
      </c>
      <c r="G2240">
        <v>0</v>
      </c>
      <c r="H2240">
        <v>1</v>
      </c>
      <c r="I2240">
        <v>2</v>
      </c>
      <c r="J2240">
        <v>5</v>
      </c>
      <c r="K2240">
        <f t="shared" si="36"/>
        <v>2</v>
      </c>
    </row>
    <row r="2241" spans="2:11" x14ac:dyDescent="0.35">
      <c r="B2241" t="s">
        <v>2237</v>
      </c>
      <c r="C2241">
        <v>7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</v>
      </c>
      <c r="J2241">
        <v>5</v>
      </c>
      <c r="K2241">
        <f t="shared" si="36"/>
        <v>2</v>
      </c>
    </row>
    <row r="2242" spans="2:11" x14ac:dyDescent="0.35">
      <c r="B2242" t="s">
        <v>2238</v>
      </c>
      <c r="C2242">
        <v>41</v>
      </c>
      <c r="D2242">
        <v>0</v>
      </c>
      <c r="E2242">
        <v>0</v>
      </c>
      <c r="F2242">
        <v>1</v>
      </c>
      <c r="G2242">
        <v>1</v>
      </c>
      <c r="H2242">
        <v>6</v>
      </c>
      <c r="I2242">
        <v>5</v>
      </c>
      <c r="J2242">
        <v>29</v>
      </c>
      <c r="K2242">
        <f t="shared" si="36"/>
        <v>4</v>
      </c>
    </row>
    <row r="2243" spans="2:11" x14ac:dyDescent="0.35">
      <c r="B2243" t="s">
        <v>2239</v>
      </c>
      <c r="C2243">
        <v>35</v>
      </c>
      <c r="D2243">
        <v>0</v>
      </c>
      <c r="E2243">
        <v>0</v>
      </c>
      <c r="F2243">
        <v>0</v>
      </c>
      <c r="G2243">
        <v>0</v>
      </c>
      <c r="H2243">
        <v>5</v>
      </c>
      <c r="I2243">
        <v>5</v>
      </c>
      <c r="J2243">
        <v>26</v>
      </c>
      <c r="K2243">
        <f t="shared" si="36"/>
        <v>2</v>
      </c>
    </row>
    <row r="2244" spans="2:11" x14ac:dyDescent="0.35">
      <c r="B2244" t="s">
        <v>2240</v>
      </c>
      <c r="C2244">
        <v>8</v>
      </c>
      <c r="D2244">
        <v>0</v>
      </c>
      <c r="E2244">
        <v>0</v>
      </c>
      <c r="F2244">
        <v>2</v>
      </c>
      <c r="G2244">
        <v>0</v>
      </c>
      <c r="H2244">
        <v>0</v>
      </c>
      <c r="I2244">
        <v>5</v>
      </c>
      <c r="J2244">
        <v>2</v>
      </c>
      <c r="K2244">
        <f t="shared" si="36"/>
        <v>2</v>
      </c>
    </row>
    <row r="2245" spans="2:11" x14ac:dyDescent="0.35">
      <c r="B2245" t="s">
        <v>2241</v>
      </c>
      <c r="C2245">
        <v>31</v>
      </c>
      <c r="D2245">
        <v>0</v>
      </c>
      <c r="E2245">
        <v>0</v>
      </c>
      <c r="F2245">
        <v>0</v>
      </c>
      <c r="G2245">
        <v>0</v>
      </c>
      <c r="H2245">
        <v>2</v>
      </c>
      <c r="I2245">
        <v>2</v>
      </c>
      <c r="J2245">
        <v>28</v>
      </c>
      <c r="K2245">
        <f t="shared" si="36"/>
        <v>2</v>
      </c>
    </row>
    <row r="2246" spans="2:11" x14ac:dyDescent="0.35">
      <c r="B2246" t="s">
        <v>2242</v>
      </c>
      <c r="C2246">
        <v>4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5</v>
      </c>
      <c r="K2246">
        <f t="shared" si="36"/>
        <v>0</v>
      </c>
    </row>
    <row r="2247" spans="2:11" x14ac:dyDescent="0.35">
      <c r="B2247" t="s">
        <v>2243</v>
      </c>
      <c r="C2247">
        <v>106</v>
      </c>
      <c r="D2247">
        <v>1</v>
      </c>
      <c r="E2247">
        <v>0</v>
      </c>
      <c r="F2247">
        <v>0</v>
      </c>
      <c r="G2247">
        <v>2</v>
      </c>
      <c r="H2247">
        <v>8</v>
      </c>
      <c r="I2247">
        <v>37</v>
      </c>
      <c r="J2247">
        <v>59</v>
      </c>
      <c r="K2247">
        <f t="shared" si="36"/>
        <v>4</v>
      </c>
    </row>
    <row r="2248" spans="2:11" x14ac:dyDescent="0.35">
      <c r="B2248" t="s">
        <v>2244</v>
      </c>
      <c r="C2248">
        <v>164</v>
      </c>
      <c r="D2248">
        <v>3</v>
      </c>
      <c r="E2248">
        <v>2</v>
      </c>
      <c r="F2248">
        <v>0</v>
      </c>
      <c r="G2248">
        <v>4</v>
      </c>
      <c r="H2248">
        <v>28</v>
      </c>
      <c r="I2248">
        <v>29</v>
      </c>
      <c r="J2248">
        <v>99</v>
      </c>
      <c r="K2248">
        <f t="shared" si="36"/>
        <v>5</v>
      </c>
    </row>
    <row r="2249" spans="2:11" x14ac:dyDescent="0.35">
      <c r="B2249" t="s">
        <v>2245</v>
      </c>
      <c r="C2249">
        <v>18</v>
      </c>
      <c r="D2249">
        <v>0</v>
      </c>
      <c r="E2249">
        <v>1</v>
      </c>
      <c r="F2249">
        <v>0</v>
      </c>
      <c r="G2249">
        <v>1</v>
      </c>
      <c r="H2249">
        <v>0</v>
      </c>
      <c r="I2249">
        <v>1</v>
      </c>
      <c r="J2249">
        <v>16</v>
      </c>
      <c r="K2249">
        <f t="shared" si="36"/>
        <v>3</v>
      </c>
    </row>
    <row r="2250" spans="2:11" x14ac:dyDescent="0.35">
      <c r="B2250" t="s">
        <v>2246</v>
      </c>
      <c r="C2250">
        <v>43</v>
      </c>
      <c r="D2250">
        <v>0</v>
      </c>
      <c r="E2250">
        <v>0</v>
      </c>
      <c r="F2250">
        <v>0</v>
      </c>
      <c r="G2250">
        <v>1</v>
      </c>
      <c r="H2250">
        <v>0</v>
      </c>
      <c r="I2250">
        <v>9</v>
      </c>
      <c r="J2250">
        <v>34</v>
      </c>
      <c r="K2250">
        <f t="shared" si="36"/>
        <v>2</v>
      </c>
    </row>
    <row r="2251" spans="2:11" x14ac:dyDescent="0.35">
      <c r="B2251" t="s">
        <v>2247</v>
      </c>
      <c r="C2251">
        <v>47</v>
      </c>
      <c r="D2251">
        <v>11</v>
      </c>
      <c r="E2251">
        <v>0</v>
      </c>
      <c r="F2251">
        <v>4</v>
      </c>
      <c r="G2251">
        <v>1</v>
      </c>
      <c r="H2251">
        <v>2</v>
      </c>
      <c r="I2251">
        <v>17</v>
      </c>
      <c r="J2251">
        <v>13</v>
      </c>
      <c r="K2251">
        <f t="shared" si="36"/>
        <v>5</v>
      </c>
    </row>
    <row r="2252" spans="2:11" x14ac:dyDescent="0.35">
      <c r="B2252" t="s">
        <v>2248</v>
      </c>
      <c r="C2252">
        <v>15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7</v>
      </c>
      <c r="J2252">
        <v>9</v>
      </c>
      <c r="K2252">
        <f t="shared" ref="K2252:K2280" si="37">COUNTIF(D2252:I2252, "&gt;0")</f>
        <v>1</v>
      </c>
    </row>
    <row r="2253" spans="2:11" x14ac:dyDescent="0.35">
      <c r="B2253" t="s">
        <v>2249</v>
      </c>
      <c r="C2253">
        <v>9</v>
      </c>
      <c r="D2253">
        <v>3</v>
      </c>
      <c r="E2253">
        <v>0</v>
      </c>
      <c r="F2253">
        <v>1</v>
      </c>
      <c r="G2253">
        <v>0</v>
      </c>
      <c r="H2253">
        <v>2</v>
      </c>
      <c r="I2253">
        <v>0</v>
      </c>
      <c r="J2253">
        <v>4</v>
      </c>
      <c r="K2253">
        <f t="shared" si="37"/>
        <v>3</v>
      </c>
    </row>
    <row r="2254" spans="2:11" x14ac:dyDescent="0.35">
      <c r="B2254" t="s">
        <v>2250</v>
      </c>
      <c r="C2254">
        <v>20</v>
      </c>
      <c r="D2254">
        <v>0</v>
      </c>
      <c r="E2254">
        <v>0</v>
      </c>
      <c r="F2254">
        <v>0</v>
      </c>
      <c r="G2254">
        <v>0</v>
      </c>
      <c r="H2254">
        <v>2</v>
      </c>
      <c r="I2254">
        <v>10</v>
      </c>
      <c r="J2254">
        <v>9</v>
      </c>
      <c r="K2254">
        <f t="shared" si="37"/>
        <v>2</v>
      </c>
    </row>
    <row r="2255" spans="2:11" x14ac:dyDescent="0.35">
      <c r="B2255" t="s">
        <v>2251</v>
      </c>
      <c r="C2255">
        <v>74</v>
      </c>
      <c r="D2255">
        <v>3</v>
      </c>
      <c r="E2255">
        <v>1</v>
      </c>
      <c r="F2255">
        <v>2</v>
      </c>
      <c r="G2255">
        <v>1</v>
      </c>
      <c r="H2255">
        <v>5</v>
      </c>
      <c r="I2255">
        <v>14</v>
      </c>
      <c r="J2255">
        <v>49</v>
      </c>
      <c r="K2255">
        <f t="shared" si="37"/>
        <v>6</v>
      </c>
    </row>
    <row r="2256" spans="2:11" x14ac:dyDescent="0.35">
      <c r="B2256" t="s">
        <v>2252</v>
      </c>
      <c r="C2256">
        <v>77</v>
      </c>
      <c r="D2256">
        <v>7</v>
      </c>
      <c r="E2256">
        <v>0</v>
      </c>
      <c r="F2256">
        <v>3</v>
      </c>
      <c r="G2256">
        <v>5</v>
      </c>
      <c r="H2256">
        <v>4</v>
      </c>
      <c r="I2256">
        <v>39</v>
      </c>
      <c r="J2256">
        <v>20</v>
      </c>
      <c r="K2256">
        <f t="shared" si="37"/>
        <v>5</v>
      </c>
    </row>
    <row r="2257" spans="2:11" x14ac:dyDescent="0.35">
      <c r="B2257" t="s">
        <v>2253</v>
      </c>
      <c r="C2257">
        <v>65</v>
      </c>
      <c r="D2257">
        <v>8</v>
      </c>
      <c r="E2257">
        <v>0</v>
      </c>
      <c r="F2257">
        <v>2</v>
      </c>
      <c r="G2257">
        <v>6</v>
      </c>
      <c r="H2257">
        <v>4</v>
      </c>
      <c r="I2257">
        <v>37</v>
      </c>
      <c r="J2257">
        <v>9</v>
      </c>
      <c r="K2257">
        <f t="shared" si="37"/>
        <v>5</v>
      </c>
    </row>
    <row r="2258" spans="2:11" x14ac:dyDescent="0.35">
      <c r="B2258" t="s">
        <v>2254</v>
      </c>
      <c r="C2258">
        <v>78</v>
      </c>
      <c r="D2258">
        <v>7</v>
      </c>
      <c r="E2258">
        <v>0</v>
      </c>
      <c r="F2258">
        <v>3</v>
      </c>
      <c r="G2258">
        <v>6</v>
      </c>
      <c r="H2258">
        <v>4</v>
      </c>
      <c r="I2258">
        <v>36</v>
      </c>
      <c r="J2258">
        <v>23</v>
      </c>
      <c r="K2258">
        <f t="shared" si="37"/>
        <v>5</v>
      </c>
    </row>
    <row r="2259" spans="2:11" x14ac:dyDescent="0.35">
      <c r="B2259" t="s">
        <v>2255</v>
      </c>
      <c r="C2259">
        <v>80</v>
      </c>
      <c r="D2259">
        <v>8</v>
      </c>
      <c r="E2259">
        <v>0</v>
      </c>
      <c r="F2259">
        <v>3</v>
      </c>
      <c r="G2259">
        <v>6</v>
      </c>
      <c r="H2259">
        <v>3</v>
      </c>
      <c r="I2259">
        <v>40</v>
      </c>
      <c r="J2259">
        <v>21</v>
      </c>
      <c r="K2259">
        <f t="shared" si="37"/>
        <v>5</v>
      </c>
    </row>
    <row r="2260" spans="2:11" x14ac:dyDescent="0.35">
      <c r="B2260" t="s">
        <v>2256</v>
      </c>
      <c r="C2260">
        <v>13</v>
      </c>
      <c r="D2260">
        <v>1</v>
      </c>
      <c r="E2260">
        <v>1</v>
      </c>
      <c r="F2260">
        <v>0</v>
      </c>
      <c r="G2260">
        <v>0</v>
      </c>
      <c r="H2260">
        <v>0</v>
      </c>
      <c r="I2260">
        <v>2</v>
      </c>
      <c r="J2260">
        <v>10</v>
      </c>
      <c r="K2260">
        <f t="shared" si="37"/>
        <v>3</v>
      </c>
    </row>
    <row r="2261" spans="2:11" x14ac:dyDescent="0.35">
      <c r="B2261" t="s">
        <v>2257</v>
      </c>
      <c r="C2261">
        <v>39</v>
      </c>
      <c r="D2261">
        <v>3</v>
      </c>
      <c r="E2261">
        <v>0</v>
      </c>
      <c r="F2261">
        <v>0</v>
      </c>
      <c r="G2261">
        <v>3</v>
      </c>
      <c r="H2261">
        <v>2</v>
      </c>
      <c r="I2261">
        <v>5</v>
      </c>
      <c r="J2261">
        <v>27</v>
      </c>
      <c r="K2261">
        <f t="shared" si="37"/>
        <v>4</v>
      </c>
    </row>
    <row r="2262" spans="2:11" x14ac:dyDescent="0.35">
      <c r="B2262" t="s">
        <v>2258</v>
      </c>
      <c r="C2262">
        <v>42</v>
      </c>
      <c r="D2262">
        <v>6</v>
      </c>
      <c r="E2262">
        <v>1</v>
      </c>
      <c r="F2262">
        <v>0</v>
      </c>
      <c r="G2262">
        <v>3</v>
      </c>
      <c r="H2262">
        <v>4</v>
      </c>
      <c r="I2262">
        <v>15</v>
      </c>
      <c r="J2262">
        <v>14</v>
      </c>
      <c r="K2262">
        <f t="shared" si="37"/>
        <v>5</v>
      </c>
    </row>
    <row r="2263" spans="2:11" x14ac:dyDescent="0.35">
      <c r="B2263" t="s">
        <v>2259</v>
      </c>
      <c r="C2263">
        <v>28</v>
      </c>
      <c r="D2263">
        <v>6</v>
      </c>
      <c r="E2263">
        <v>0</v>
      </c>
      <c r="F2263">
        <v>2</v>
      </c>
      <c r="G2263">
        <v>0</v>
      </c>
      <c r="H2263">
        <v>2</v>
      </c>
      <c r="I2263">
        <v>6</v>
      </c>
      <c r="J2263">
        <v>13</v>
      </c>
      <c r="K2263">
        <f t="shared" si="37"/>
        <v>4</v>
      </c>
    </row>
    <row r="2264" spans="2:11" x14ac:dyDescent="0.35">
      <c r="B2264" t="s">
        <v>2260</v>
      </c>
      <c r="C2264">
        <v>37</v>
      </c>
      <c r="D2264">
        <v>5</v>
      </c>
      <c r="E2264">
        <v>0</v>
      </c>
      <c r="F2264">
        <v>0</v>
      </c>
      <c r="G2264">
        <v>0</v>
      </c>
      <c r="H2264">
        <v>0</v>
      </c>
      <c r="I2264">
        <v>9</v>
      </c>
      <c r="J2264">
        <v>24</v>
      </c>
      <c r="K2264">
        <f t="shared" si="37"/>
        <v>2</v>
      </c>
    </row>
    <row r="2265" spans="2:11" x14ac:dyDescent="0.35">
      <c r="B2265" t="s">
        <v>2261</v>
      </c>
      <c r="C2265">
        <v>14</v>
      </c>
      <c r="D2265">
        <v>0</v>
      </c>
      <c r="E2265">
        <v>0</v>
      </c>
      <c r="F2265">
        <v>0</v>
      </c>
      <c r="G2265">
        <v>1</v>
      </c>
      <c r="H2265">
        <v>0</v>
      </c>
      <c r="I2265">
        <v>9</v>
      </c>
      <c r="J2265">
        <v>5</v>
      </c>
      <c r="K2265">
        <f t="shared" si="37"/>
        <v>2</v>
      </c>
    </row>
    <row r="2266" spans="2:11" x14ac:dyDescent="0.35">
      <c r="B2266" t="s">
        <v>2262</v>
      </c>
      <c r="C2266">
        <v>25</v>
      </c>
      <c r="D2266">
        <v>1</v>
      </c>
      <c r="E2266">
        <v>0</v>
      </c>
      <c r="F2266">
        <v>0</v>
      </c>
      <c r="G2266">
        <v>1</v>
      </c>
      <c r="H2266">
        <v>2</v>
      </c>
      <c r="I2266">
        <v>6</v>
      </c>
      <c r="J2266">
        <v>16</v>
      </c>
      <c r="K2266">
        <f t="shared" si="37"/>
        <v>4</v>
      </c>
    </row>
    <row r="2267" spans="2:11" x14ac:dyDescent="0.35">
      <c r="B2267" t="s">
        <v>2263</v>
      </c>
      <c r="C2267">
        <v>22</v>
      </c>
      <c r="D2267">
        <v>1</v>
      </c>
      <c r="E2267">
        <v>0</v>
      </c>
      <c r="F2267">
        <v>1</v>
      </c>
      <c r="G2267">
        <v>1</v>
      </c>
      <c r="H2267">
        <v>7</v>
      </c>
      <c r="I2267">
        <v>5</v>
      </c>
      <c r="J2267">
        <v>8</v>
      </c>
      <c r="K2267">
        <f t="shared" si="37"/>
        <v>5</v>
      </c>
    </row>
    <row r="2268" spans="2:11" x14ac:dyDescent="0.35">
      <c r="B2268" t="s">
        <v>2264</v>
      </c>
      <c r="C2268">
        <v>15</v>
      </c>
      <c r="D2268">
        <v>4</v>
      </c>
      <c r="E2268">
        <v>0</v>
      </c>
      <c r="F2268">
        <v>0</v>
      </c>
      <c r="G2268">
        <v>1</v>
      </c>
      <c r="H2268">
        <v>0</v>
      </c>
      <c r="I2268">
        <v>6</v>
      </c>
      <c r="J2268">
        <v>5</v>
      </c>
      <c r="K2268">
        <f t="shared" si="37"/>
        <v>3</v>
      </c>
    </row>
    <row r="2269" spans="2:11" x14ac:dyDescent="0.35">
      <c r="B2269" t="s">
        <v>2265</v>
      </c>
      <c r="C2269">
        <v>9</v>
      </c>
      <c r="D2269">
        <v>2</v>
      </c>
      <c r="E2269">
        <v>0</v>
      </c>
      <c r="F2269">
        <v>0</v>
      </c>
      <c r="G2269">
        <v>0</v>
      </c>
      <c r="H2269">
        <v>2</v>
      </c>
      <c r="I2269">
        <v>4</v>
      </c>
      <c r="J2269">
        <v>2</v>
      </c>
      <c r="K2269">
        <f t="shared" si="37"/>
        <v>3</v>
      </c>
    </row>
    <row r="2270" spans="2:11" x14ac:dyDescent="0.35">
      <c r="B2270" t="s">
        <v>2266</v>
      </c>
      <c r="C2270">
        <v>13</v>
      </c>
      <c r="D2270">
        <v>1</v>
      </c>
      <c r="E2270">
        <v>0</v>
      </c>
      <c r="F2270">
        <v>0</v>
      </c>
      <c r="G2270">
        <v>1</v>
      </c>
      <c r="H2270">
        <v>3</v>
      </c>
      <c r="I2270">
        <v>1</v>
      </c>
      <c r="J2270">
        <v>8</v>
      </c>
      <c r="K2270">
        <f t="shared" si="37"/>
        <v>4</v>
      </c>
    </row>
    <row r="2271" spans="2:11" x14ac:dyDescent="0.35">
      <c r="B2271" t="s">
        <v>2267</v>
      </c>
      <c r="C2271">
        <v>33</v>
      </c>
      <c r="D2271">
        <v>4</v>
      </c>
      <c r="E2271">
        <v>1</v>
      </c>
      <c r="F2271">
        <v>0</v>
      </c>
      <c r="G2271">
        <v>4</v>
      </c>
      <c r="H2271">
        <v>1</v>
      </c>
      <c r="I2271">
        <v>16</v>
      </c>
      <c r="J2271">
        <v>8</v>
      </c>
      <c r="K2271">
        <f t="shared" si="37"/>
        <v>5</v>
      </c>
    </row>
    <row r="2272" spans="2:11" x14ac:dyDescent="0.35">
      <c r="B2272" t="s">
        <v>2268</v>
      </c>
      <c r="C2272">
        <v>65</v>
      </c>
      <c r="D2272">
        <v>3</v>
      </c>
      <c r="E2272">
        <v>0</v>
      </c>
      <c r="F2272">
        <v>3</v>
      </c>
      <c r="G2272">
        <v>1</v>
      </c>
      <c r="H2272">
        <v>27</v>
      </c>
      <c r="I2272">
        <v>6</v>
      </c>
      <c r="J2272">
        <v>26</v>
      </c>
      <c r="K2272">
        <f t="shared" si="37"/>
        <v>5</v>
      </c>
    </row>
    <row r="2273" spans="2:11" x14ac:dyDescent="0.35">
      <c r="B2273" t="s">
        <v>2269</v>
      </c>
      <c r="C2273">
        <v>53</v>
      </c>
      <c r="D2273">
        <v>1</v>
      </c>
      <c r="E2273">
        <v>0</v>
      </c>
      <c r="F2273">
        <v>0</v>
      </c>
      <c r="G2273">
        <v>10</v>
      </c>
      <c r="H2273">
        <v>9</v>
      </c>
      <c r="I2273">
        <v>23</v>
      </c>
      <c r="J2273">
        <v>11</v>
      </c>
      <c r="K2273">
        <f t="shared" si="37"/>
        <v>4</v>
      </c>
    </row>
    <row r="2274" spans="2:11" x14ac:dyDescent="0.35">
      <c r="B2274" t="s">
        <v>2270</v>
      </c>
      <c r="C2274">
        <v>9</v>
      </c>
      <c r="D2274">
        <v>1</v>
      </c>
      <c r="E2274">
        <v>0</v>
      </c>
      <c r="F2274">
        <v>0</v>
      </c>
      <c r="G2274">
        <v>1</v>
      </c>
      <c r="H2274">
        <v>1</v>
      </c>
      <c r="I2274">
        <v>3</v>
      </c>
      <c r="J2274">
        <v>4</v>
      </c>
      <c r="K2274">
        <f t="shared" si="37"/>
        <v>4</v>
      </c>
    </row>
    <row r="2275" spans="2:11" x14ac:dyDescent="0.35">
      <c r="B2275" t="s">
        <v>2271</v>
      </c>
      <c r="C2275">
        <v>27</v>
      </c>
      <c r="D2275">
        <v>4</v>
      </c>
      <c r="E2275">
        <v>0</v>
      </c>
      <c r="F2275">
        <v>0</v>
      </c>
      <c r="G2275">
        <v>0</v>
      </c>
      <c r="H2275">
        <v>2</v>
      </c>
      <c r="I2275">
        <v>6</v>
      </c>
      <c r="J2275">
        <v>16</v>
      </c>
      <c r="K2275">
        <f t="shared" si="37"/>
        <v>3</v>
      </c>
    </row>
    <row r="2276" spans="2:11" x14ac:dyDescent="0.35">
      <c r="B2276" t="s">
        <v>2272</v>
      </c>
      <c r="C2276">
        <v>11</v>
      </c>
      <c r="D2276">
        <v>0</v>
      </c>
      <c r="E2276">
        <v>0</v>
      </c>
      <c r="F2276">
        <v>0</v>
      </c>
      <c r="G2276">
        <v>0</v>
      </c>
      <c r="H2276">
        <v>1</v>
      </c>
      <c r="I2276">
        <v>2</v>
      </c>
      <c r="J2276">
        <v>9</v>
      </c>
      <c r="K2276">
        <f t="shared" si="37"/>
        <v>2</v>
      </c>
    </row>
    <row r="2277" spans="2:11" x14ac:dyDescent="0.35">
      <c r="B2277" t="s">
        <v>2273</v>
      </c>
      <c r="C2277">
        <v>12</v>
      </c>
      <c r="D2277">
        <v>2</v>
      </c>
      <c r="E2277">
        <v>1</v>
      </c>
      <c r="F2277">
        <v>0</v>
      </c>
      <c r="G2277">
        <v>0</v>
      </c>
      <c r="H2277">
        <v>1</v>
      </c>
      <c r="I2277">
        <v>3</v>
      </c>
      <c r="J2277">
        <v>6</v>
      </c>
      <c r="K2277">
        <f t="shared" si="37"/>
        <v>4</v>
      </c>
    </row>
    <row r="2278" spans="2:11" x14ac:dyDescent="0.35">
      <c r="B2278" t="s">
        <v>2274</v>
      </c>
      <c r="C2278">
        <v>16</v>
      </c>
      <c r="D2278">
        <v>0</v>
      </c>
      <c r="E2278">
        <v>0</v>
      </c>
      <c r="F2278">
        <v>0</v>
      </c>
      <c r="G2278">
        <v>1</v>
      </c>
      <c r="H2278">
        <v>0</v>
      </c>
      <c r="I2278">
        <v>0</v>
      </c>
      <c r="J2278">
        <v>16</v>
      </c>
      <c r="K2278">
        <f t="shared" si="37"/>
        <v>1</v>
      </c>
    </row>
    <row r="2279" spans="2:11" x14ac:dyDescent="0.35">
      <c r="B2279" t="s">
        <v>2275</v>
      </c>
      <c r="C2279">
        <v>48</v>
      </c>
      <c r="D2279">
        <v>2</v>
      </c>
      <c r="E2279">
        <v>0</v>
      </c>
      <c r="F2279">
        <v>0</v>
      </c>
      <c r="G2279">
        <v>7</v>
      </c>
      <c r="H2279">
        <v>1</v>
      </c>
      <c r="I2279">
        <v>11</v>
      </c>
      <c r="J2279">
        <v>28</v>
      </c>
      <c r="K2279">
        <f t="shared" si="37"/>
        <v>4</v>
      </c>
    </row>
    <row r="2280" spans="2:11" x14ac:dyDescent="0.35">
      <c r="B2280" t="s">
        <v>2276</v>
      </c>
      <c r="C2280">
        <v>19</v>
      </c>
      <c r="D2280">
        <v>1</v>
      </c>
      <c r="E2280">
        <v>0</v>
      </c>
      <c r="F2280">
        <v>0</v>
      </c>
      <c r="G2280">
        <v>2</v>
      </c>
      <c r="H2280">
        <v>4</v>
      </c>
      <c r="I2280">
        <v>2</v>
      </c>
      <c r="J2280">
        <v>11</v>
      </c>
      <c r="K2280">
        <f t="shared" si="37"/>
        <v>4</v>
      </c>
    </row>
    <row r="2281" spans="2:11" x14ac:dyDescent="0.35">
      <c r="B2281" t="s">
        <v>2277</v>
      </c>
      <c r="C2281">
        <v>13</v>
      </c>
      <c r="D2281">
        <v>1</v>
      </c>
      <c r="E2281">
        <v>0</v>
      </c>
      <c r="F2281">
        <v>0</v>
      </c>
      <c r="G2281">
        <v>0</v>
      </c>
      <c r="H2281">
        <v>1</v>
      </c>
      <c r="I2281">
        <v>3</v>
      </c>
      <c r="J2281">
        <v>9</v>
      </c>
      <c r="K2281">
        <f>COUNTIF(D2281:I2281, "&gt;0")</f>
        <v>3</v>
      </c>
    </row>
    <row r="2282" spans="2:11" x14ac:dyDescent="0.35">
      <c r="B2282" t="s">
        <v>2278</v>
      </c>
      <c r="C2282">
        <v>82</v>
      </c>
      <c r="D2282">
        <v>7</v>
      </c>
      <c r="E2282">
        <v>3</v>
      </c>
      <c r="F2282">
        <v>1</v>
      </c>
      <c r="G2282">
        <v>3</v>
      </c>
      <c r="H2282">
        <v>2</v>
      </c>
      <c r="I2282">
        <v>12</v>
      </c>
      <c r="J2282">
        <v>55</v>
      </c>
      <c r="K2282">
        <f t="shared" ref="K2282:K2284" si="38">COUNTIF(D2282:I2282, "&gt;0")</f>
        <v>6</v>
      </c>
    </row>
    <row r="2283" spans="2:11" x14ac:dyDescent="0.35">
      <c r="B2283" t="s">
        <v>2279</v>
      </c>
      <c r="C2283">
        <v>16</v>
      </c>
      <c r="D2283">
        <v>1</v>
      </c>
      <c r="E2283">
        <v>0</v>
      </c>
      <c r="F2283">
        <v>0</v>
      </c>
      <c r="G2283">
        <v>0</v>
      </c>
      <c r="H2283">
        <v>0</v>
      </c>
      <c r="I2283">
        <v>5</v>
      </c>
      <c r="J2283">
        <v>11</v>
      </c>
      <c r="K2283">
        <f t="shared" si="38"/>
        <v>2</v>
      </c>
    </row>
    <row r="2284" spans="2:11" x14ac:dyDescent="0.35">
      <c r="B2284" t="s">
        <v>2280</v>
      </c>
      <c r="C2284">
        <v>8</v>
      </c>
      <c r="D2284">
        <v>1</v>
      </c>
      <c r="E2284">
        <v>0</v>
      </c>
      <c r="F2284">
        <v>0</v>
      </c>
      <c r="G2284">
        <v>1</v>
      </c>
      <c r="H2284">
        <v>1</v>
      </c>
      <c r="I2284">
        <v>1</v>
      </c>
      <c r="J2284">
        <v>5</v>
      </c>
      <c r="K2284">
        <f t="shared" si="38"/>
        <v>4</v>
      </c>
    </row>
  </sheetData>
  <mergeCells count="2">
    <mergeCell ref="D2:J2"/>
    <mergeCell ref="D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6"/>
  <sheetViews>
    <sheetView tabSelected="1" workbookViewId="0">
      <selection activeCell="E22" sqref="E22"/>
    </sheetView>
  </sheetViews>
  <sheetFormatPr defaultRowHeight="14.5" x14ac:dyDescent="0.35"/>
  <cols>
    <col min="3" max="7" width="9.08984375" bestFit="1" customWidth="1"/>
    <col min="8" max="9" width="9.1796875" bestFit="1" customWidth="1"/>
  </cols>
  <sheetData>
    <row r="2" spans="2:9" x14ac:dyDescent="0.35">
      <c r="C2" s="17"/>
      <c r="D2" s="17"/>
      <c r="E2" s="17"/>
      <c r="F2" s="17"/>
      <c r="G2" s="17"/>
      <c r="H2" s="17"/>
      <c r="I2" s="17"/>
    </row>
    <row r="3" spans="2:9" x14ac:dyDescent="0.35">
      <c r="C3" s="7" t="s">
        <v>1</v>
      </c>
      <c r="D3" s="7" t="s">
        <v>2</v>
      </c>
      <c r="E3" s="7" t="s">
        <v>3</v>
      </c>
      <c r="F3" s="7" t="s">
        <v>4</v>
      </c>
      <c r="G3" s="7" t="s">
        <v>5</v>
      </c>
      <c r="H3" s="7" t="s">
        <v>6</v>
      </c>
      <c r="I3" s="7" t="s">
        <v>7</v>
      </c>
    </row>
    <row r="4" spans="2:9" x14ac:dyDescent="0.35">
      <c r="B4" t="s">
        <v>8</v>
      </c>
      <c r="C4">
        <v>332</v>
      </c>
      <c r="D4">
        <v>531</v>
      </c>
      <c r="E4">
        <v>1648</v>
      </c>
      <c r="F4">
        <v>1162</v>
      </c>
      <c r="G4">
        <v>1660</v>
      </c>
      <c r="H4">
        <v>2192</v>
      </c>
      <c r="I4">
        <v>2265</v>
      </c>
    </row>
    <row r="5" spans="2:9" x14ac:dyDescent="0.35">
      <c r="B5" t="s">
        <v>9</v>
      </c>
      <c r="C5" s="14">
        <v>0.20519594892118009</v>
      </c>
      <c r="D5" s="14">
        <v>0.47644209599295467</v>
      </c>
      <c r="E5" s="14">
        <v>2.136944077498899</v>
      </c>
      <c r="F5" s="14">
        <v>2.4768824306472919</v>
      </c>
      <c r="G5" s="14">
        <v>3.9123734037868778</v>
      </c>
      <c r="H5" s="14">
        <v>10.804931748128578</v>
      </c>
      <c r="I5" s="14">
        <v>15.07661822985469</v>
      </c>
    </row>
    <row r="6" spans="2:9" x14ac:dyDescent="0.35">
      <c r="B6" t="s">
        <v>2304</v>
      </c>
      <c r="C6" s="15">
        <f>C4/2274</f>
        <v>0.14599824098504838</v>
      </c>
      <c r="D6" s="15">
        <f t="shared" ref="D6:I6" si="0">D4/2274</f>
        <v>0.23350923482849603</v>
      </c>
      <c r="E6" s="15">
        <f t="shared" si="0"/>
        <v>0.7247141600703606</v>
      </c>
      <c r="F6" s="15">
        <f t="shared" si="0"/>
        <v>0.51099384344766929</v>
      </c>
      <c r="G6" s="15">
        <f t="shared" si="0"/>
        <v>0.72999120492524183</v>
      </c>
      <c r="H6" s="15">
        <f t="shared" si="0"/>
        <v>0.96394019349164473</v>
      </c>
      <c r="I6" s="15">
        <f t="shared" si="0"/>
        <v>0.99604221635883905</v>
      </c>
    </row>
  </sheetData>
  <mergeCells count="1">
    <mergeCell ref="C2:I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7151-5DBD-4642-8B79-D332A10AFDC1}">
  <dimension ref="C3:N8"/>
  <sheetViews>
    <sheetView workbookViewId="0">
      <selection activeCell="F7" sqref="F7"/>
    </sheetView>
  </sheetViews>
  <sheetFormatPr defaultRowHeight="14.5" x14ac:dyDescent="0.35"/>
  <cols>
    <col min="14" max="14" width="16" customWidth="1"/>
  </cols>
  <sheetData>
    <row r="3" spans="3:14" x14ac:dyDescent="0.35">
      <c r="C3" s="9"/>
      <c r="D3" s="9"/>
      <c r="E3" s="17" t="s">
        <v>2299</v>
      </c>
      <c r="F3" s="17"/>
      <c r="G3" s="17"/>
      <c r="H3" s="17"/>
      <c r="I3" s="17"/>
      <c r="J3" s="17"/>
      <c r="K3" s="17"/>
      <c r="L3" s="9"/>
    </row>
    <row r="4" spans="3:14" x14ac:dyDescent="0.35">
      <c r="C4" s="9"/>
      <c r="D4" s="9"/>
      <c r="E4" s="10">
        <v>0</v>
      </c>
      <c r="F4" s="10">
        <v>1</v>
      </c>
      <c r="G4" s="10">
        <v>2</v>
      </c>
      <c r="H4" s="10">
        <v>3</v>
      </c>
      <c r="I4" s="10">
        <v>4</v>
      </c>
      <c r="J4" s="10">
        <v>5</v>
      </c>
      <c r="K4" s="10">
        <v>6</v>
      </c>
      <c r="L4" s="9"/>
      <c r="N4" s="13" t="s">
        <v>2300</v>
      </c>
    </row>
    <row r="5" spans="3:14" x14ac:dyDescent="0.35">
      <c r="C5" s="11" t="s">
        <v>8</v>
      </c>
      <c r="D5" s="9"/>
      <c r="E5" s="9">
        <f>COUNTIF('Spreadsheets (Analysis)'!K11:'Spreadsheets (Analysis)'!K2284, "=0")</f>
        <v>14</v>
      </c>
      <c r="F5" s="3">
        <f>COUNTIF('Spreadsheets (Analysis)'!K11:'Spreadsheets (Analysis)'!K2284, "=1")</f>
        <v>165</v>
      </c>
      <c r="G5" s="12">
        <f>COUNTIF('Spreadsheets (Analysis)'!K11:'Spreadsheets (Analysis)'!K2284, "=2")</f>
        <v>411</v>
      </c>
      <c r="H5" s="12">
        <f>COUNTIF('Spreadsheets (Analysis)'!K11:'Spreadsheets (Analysis)'!K2284, "=3")</f>
        <v>603</v>
      </c>
      <c r="I5" s="3">
        <f>COUNTIF('Spreadsheets (Analysis)'!K11:'Spreadsheets (Analysis)'!K2284, "=4")</f>
        <v>729</v>
      </c>
      <c r="J5" s="12">
        <f>COUNTIF('Spreadsheets (Analysis)'!K11:'Spreadsheets (Analysis)'!K2284, "=5")</f>
        <v>287</v>
      </c>
      <c r="K5" s="3">
        <f>COUNTIF('Spreadsheets (Analysis)'!K11:'Spreadsheets (Analysis)'!K2284, "=6")</f>
        <v>65</v>
      </c>
      <c r="L5" s="9"/>
      <c r="N5" s="7">
        <f>SUM(E5:K5)</f>
        <v>2274</v>
      </c>
    </row>
    <row r="6" spans="3:14" x14ac:dyDescent="0.35">
      <c r="C6" s="9" t="s">
        <v>9</v>
      </c>
      <c r="D6" s="4"/>
      <c r="E6" s="4">
        <f>AVERAGE(E5:K5)</f>
        <v>324.85714285714283</v>
      </c>
      <c r="F6" s="4">
        <f>AVERAGE(E5:K5)</f>
        <v>324.85714285714283</v>
      </c>
      <c r="G6" s="4">
        <f>AVERAGE(E5:K5)</f>
        <v>324.85714285714283</v>
      </c>
      <c r="H6" s="4">
        <f>AVERAGE(E5:K5)</f>
        <v>324.85714285714283</v>
      </c>
      <c r="I6" s="4">
        <f>AVERAGE(E5:K5)</f>
        <v>324.85714285714283</v>
      </c>
      <c r="J6" s="4">
        <f>AVERAGE(E5:K5)</f>
        <v>324.85714285714283</v>
      </c>
      <c r="K6" s="4">
        <f>AVERAGE(E5:K5)</f>
        <v>324.85714285714283</v>
      </c>
      <c r="L6" s="4"/>
    </row>
    <row r="7" spans="3:14" x14ac:dyDescent="0.35">
      <c r="E7" s="15">
        <f>E5/2271</f>
        <v>6.1646851607221487E-3</v>
      </c>
      <c r="F7" s="15">
        <f t="shared" ref="F7:K7" si="0">F5/2271</f>
        <v>7.2655217965653898E-2</v>
      </c>
      <c r="G7" s="15">
        <f t="shared" si="0"/>
        <v>0.1809775429326288</v>
      </c>
      <c r="H7" s="15">
        <f t="shared" si="0"/>
        <v>0.26552179656538971</v>
      </c>
      <c r="I7" s="15">
        <f t="shared" si="0"/>
        <v>0.32100396301188905</v>
      </c>
      <c r="J7" s="15">
        <f t="shared" si="0"/>
        <v>0.12637604579480405</v>
      </c>
      <c r="K7" s="15">
        <f t="shared" si="0"/>
        <v>2.8621752531924262E-2</v>
      </c>
      <c r="M7" s="18">
        <f>SUM(E7:K7)</f>
        <v>1.001321003963012</v>
      </c>
    </row>
    <row r="8" spans="3:14" x14ac:dyDescent="0.35">
      <c r="G8" s="18"/>
    </row>
  </sheetData>
  <mergeCells count="1">
    <mergeCell ref="E3:K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Spreadsheets (Analysis)</vt:lpstr>
      <vt:lpstr>Average per Category</vt:lpstr>
      <vt:lpstr>Meet the 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Felipe Fronchetti Dias</dc:creator>
  <cp:lastModifiedBy>Luiz Felipe Fronchetti Dias</cp:lastModifiedBy>
  <dcterms:created xsi:type="dcterms:W3CDTF">2022-12-12T13:53:32Z</dcterms:created>
  <dcterms:modified xsi:type="dcterms:W3CDTF">2022-12-13T08:30:49Z</dcterms:modified>
</cp:coreProperties>
</file>